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\Documents\Obsidian\Hut 8 Riverbend Cx RFP &amp; Response\RFP Response\"/>
    </mc:Choice>
  </mc:AlternateContent>
  <xr:revisionPtr revIDLastSave="0" documentId="8_{7AC7E41C-06AE-46CB-8874-46BAF56EB3B2}" xr6:coauthVersionLast="47" xr6:coauthVersionMax="47" xr10:uidLastSave="{00000000-0000-0000-0000-000000000000}"/>
  <bookViews>
    <workbookView xWindow="-108" yWindow="-108" windowWidth="23256" windowHeight="13896" activeTab="1" xr2:uid="{FF80C1C6-88B2-45CB-8B97-C2686F8992A8}"/>
  </bookViews>
  <sheets>
    <sheet name="Commissioning_Resource_Schedule" sheetId="1" r:id="rId1"/>
    <sheet name="Resources" sheetId="2" r:id="rId2"/>
    <sheet name="Equipment_List_Commissioning" sheetId="3" r:id="rId3"/>
  </sheets>
  <definedNames>
    <definedName name="_xlnm._FilterDatabase" localSheetId="0" hidden="1">Commissioning_Resource_Schedule!$A$6:$CI$171</definedName>
    <definedName name="Rate_Table">Resources!$B$1:$D$27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X2" i="3"/>
  <c r="M134" i="1"/>
  <c r="H134" i="1"/>
  <c r="I134" i="1" s="1"/>
  <c r="E134" i="1"/>
  <c r="D134" i="1"/>
  <c r="M126" i="1"/>
  <c r="H126" i="1"/>
  <c r="I126" i="1" s="1"/>
  <c r="E126" i="1"/>
  <c r="D126" i="1"/>
  <c r="AA31" i="3"/>
  <c r="Z31" i="3"/>
  <c r="Y31" i="3"/>
  <c r="AA30" i="3"/>
  <c r="Z30" i="3"/>
  <c r="Y30" i="3"/>
  <c r="AA29" i="3"/>
  <c r="Z29" i="3"/>
  <c r="Y29" i="3"/>
  <c r="AA28" i="3"/>
  <c r="Z28" i="3"/>
  <c r="Y28" i="3"/>
  <c r="AA27" i="3"/>
  <c r="Z27" i="3"/>
  <c r="Y27" i="3"/>
  <c r="AA26" i="3"/>
  <c r="Z26" i="3"/>
  <c r="Y26" i="3"/>
  <c r="AA25" i="3"/>
  <c r="Z25" i="3"/>
  <c r="Y25" i="3"/>
  <c r="AA24" i="3"/>
  <c r="Z24" i="3"/>
  <c r="Y24" i="3"/>
  <c r="AA23" i="3"/>
  <c r="Z23" i="3"/>
  <c r="Y23" i="3"/>
  <c r="AA22" i="3"/>
  <c r="Z22" i="3"/>
  <c r="Y22" i="3"/>
  <c r="AA21" i="3"/>
  <c r="Z21" i="3"/>
  <c r="Y21" i="3"/>
  <c r="AA20" i="3"/>
  <c r="Z20" i="3"/>
  <c r="Y20" i="3"/>
  <c r="AA19" i="3"/>
  <c r="Z19" i="3"/>
  <c r="Y19" i="3"/>
  <c r="AA18" i="3"/>
  <c r="Z18" i="3"/>
  <c r="Y18" i="3"/>
  <c r="AA17" i="3"/>
  <c r="Z17" i="3"/>
  <c r="Y17" i="3"/>
  <c r="AA16" i="3"/>
  <c r="Z16" i="3"/>
  <c r="Y16" i="3"/>
  <c r="AA15" i="3"/>
  <c r="Z15" i="3"/>
  <c r="Y15" i="3"/>
  <c r="AA14" i="3"/>
  <c r="Z14" i="3"/>
  <c r="Y14" i="3"/>
  <c r="AA13" i="3"/>
  <c r="Z13" i="3"/>
  <c r="Y13" i="3"/>
  <c r="AA12" i="3"/>
  <c r="Z12" i="3"/>
  <c r="Y12" i="3"/>
  <c r="AA11" i="3"/>
  <c r="Z11" i="3"/>
  <c r="Y11" i="3"/>
  <c r="AA10" i="3"/>
  <c r="Z10" i="3"/>
  <c r="Y10" i="3"/>
  <c r="AA9" i="3"/>
  <c r="Z9" i="3"/>
  <c r="Y9" i="3"/>
  <c r="AA8" i="3"/>
  <c r="Z8" i="3"/>
  <c r="Y8" i="3"/>
  <c r="AA7" i="3"/>
  <c r="Z7" i="3"/>
  <c r="Y7" i="3"/>
  <c r="AA6" i="3"/>
  <c r="Z6" i="3"/>
  <c r="Y6" i="3"/>
  <c r="AA5" i="3"/>
  <c r="Z5" i="3"/>
  <c r="Y5" i="3"/>
  <c r="AA4" i="3"/>
  <c r="Z4" i="3"/>
  <c r="Y4" i="3"/>
  <c r="AA3" i="3"/>
  <c r="Z3" i="3"/>
  <c r="Y3" i="3"/>
  <c r="AA2" i="3"/>
  <c r="Z2" i="3"/>
  <c r="Y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W31" i="3"/>
  <c r="AH31" i="3" s="1"/>
  <c r="W30" i="3"/>
  <c r="AG30" i="3" s="1"/>
  <c r="W29" i="3"/>
  <c r="AH29" i="3" s="1"/>
  <c r="W28" i="3"/>
  <c r="AI28" i="3" s="1"/>
  <c r="W27" i="3"/>
  <c r="AE27" i="3" s="1"/>
  <c r="W26" i="3"/>
  <c r="W25" i="3"/>
  <c r="W24" i="3"/>
  <c r="W23" i="3"/>
  <c r="W22" i="3"/>
  <c r="W21" i="3"/>
  <c r="AF21" i="3" s="1"/>
  <c r="W20" i="3"/>
  <c r="AF20" i="3" s="1"/>
  <c r="W19" i="3"/>
  <c r="AH19" i="3" s="1"/>
  <c r="W18" i="3"/>
  <c r="AI18" i="3" s="1"/>
  <c r="W17" i="3"/>
  <c r="AF17" i="3" s="1"/>
  <c r="W16" i="3"/>
  <c r="W15" i="3"/>
  <c r="W14" i="3"/>
  <c r="W13" i="3"/>
  <c r="AJ13" i="3" s="1"/>
  <c r="W12" i="3"/>
  <c r="AG12" i="3" s="1"/>
  <c r="W11" i="3"/>
  <c r="W10" i="3"/>
  <c r="W9" i="3"/>
  <c r="W8" i="3"/>
  <c r="W7" i="3"/>
  <c r="W6" i="3"/>
  <c r="W5" i="3"/>
  <c r="W4" i="3"/>
  <c r="W3" i="3"/>
  <c r="W2" i="3"/>
  <c r="B4" i="3"/>
  <c r="C4" i="3"/>
  <c r="D4" i="3"/>
  <c r="E4" i="3"/>
  <c r="F4" i="3"/>
  <c r="B5" i="3"/>
  <c r="C5" i="3"/>
  <c r="D5" i="3"/>
  <c r="E5" i="3"/>
  <c r="F5" i="3"/>
  <c r="A13" i="3"/>
  <c r="A12" i="3"/>
  <c r="A5" i="3"/>
  <c r="A4" i="3"/>
  <c r="M15" i="1"/>
  <c r="I15" i="1"/>
  <c r="E15" i="1"/>
  <c r="D15" i="1"/>
  <c r="M14" i="1"/>
  <c r="I14" i="1"/>
  <c r="E14" i="1"/>
  <c r="D14" i="1"/>
  <c r="M64" i="1"/>
  <c r="H64" i="1"/>
  <c r="I64" i="1" s="1"/>
  <c r="E64" i="1"/>
  <c r="D64" i="1"/>
  <c r="M57" i="1"/>
  <c r="H57" i="1"/>
  <c r="I57" i="1" s="1"/>
  <c r="E57" i="1"/>
  <c r="D57" i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H125" i="1"/>
  <c r="I125" i="1" s="1"/>
  <c r="H124" i="1"/>
  <c r="I124" i="1" s="1"/>
  <c r="H123" i="1"/>
  <c r="H122" i="1"/>
  <c r="H121" i="1"/>
  <c r="I121" i="1" s="1"/>
  <c r="H120" i="1"/>
  <c r="I120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H108" i="1"/>
  <c r="I108" i="1" s="1"/>
  <c r="H107" i="1"/>
  <c r="I107" i="1" s="1"/>
  <c r="H106" i="1"/>
  <c r="H105" i="1"/>
  <c r="I105" i="1" s="1"/>
  <c r="H104" i="1"/>
  <c r="I104" i="1" s="1"/>
  <c r="H103" i="1"/>
  <c r="I103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1" i="1"/>
  <c r="I91" i="1" s="1"/>
  <c r="H90" i="1"/>
  <c r="I90" i="1" s="1"/>
  <c r="H89" i="1"/>
  <c r="H88" i="1"/>
  <c r="H87" i="1"/>
  <c r="I87" i="1" s="1"/>
  <c r="H86" i="1"/>
  <c r="I86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H74" i="1"/>
  <c r="I74" i="1" s="1"/>
  <c r="H73" i="1"/>
  <c r="I73" i="1" s="1"/>
  <c r="H72" i="1"/>
  <c r="H71" i="1"/>
  <c r="I71" i="1" s="1"/>
  <c r="H70" i="1"/>
  <c r="I70" i="1" s="1"/>
  <c r="H69" i="1"/>
  <c r="I69" i="1" s="1"/>
  <c r="H62" i="1"/>
  <c r="I62" i="1" s="1"/>
  <c r="H61" i="1"/>
  <c r="I61" i="1" s="1"/>
  <c r="H63" i="1"/>
  <c r="I63" i="1" s="1"/>
  <c r="H60" i="1"/>
  <c r="I60" i="1" s="1"/>
  <c r="H56" i="1"/>
  <c r="I56" i="1" s="1"/>
  <c r="H55" i="1"/>
  <c r="H54" i="1"/>
  <c r="I54" i="1" s="1"/>
  <c r="H51" i="1"/>
  <c r="H50" i="1"/>
  <c r="H59" i="1"/>
  <c r="H49" i="1"/>
  <c r="I49" i="1" s="1"/>
  <c r="H48" i="1"/>
  <c r="I48" i="1" s="1"/>
  <c r="H58" i="1"/>
  <c r="I58" i="1" s="1"/>
  <c r="H47" i="1"/>
  <c r="I47" i="1" s="1"/>
  <c r="H46" i="1"/>
  <c r="I46" i="1" s="1"/>
  <c r="H41" i="1"/>
  <c r="I41" i="1" s="1"/>
  <c r="H40" i="1"/>
  <c r="I40" i="1" s="1"/>
  <c r="H39" i="1"/>
  <c r="I39" i="1" s="1"/>
  <c r="H38" i="1"/>
  <c r="H36" i="1"/>
  <c r="I36" i="1" s="1"/>
  <c r="H35" i="1"/>
  <c r="I35" i="1" s="1"/>
  <c r="H34" i="1"/>
  <c r="H33" i="1"/>
  <c r="I33" i="1" s="1"/>
  <c r="H28" i="1"/>
  <c r="I28" i="1" s="1"/>
  <c r="H27" i="1"/>
  <c r="I27" i="1" s="1"/>
  <c r="H26" i="1"/>
  <c r="I26" i="1" s="1"/>
  <c r="H25" i="1"/>
  <c r="I25" i="1" s="1"/>
  <c r="H23" i="1"/>
  <c r="I23" i="1" s="1"/>
  <c r="H22" i="1"/>
  <c r="I22" i="1" s="1"/>
  <c r="H21" i="1"/>
  <c r="I21" i="1" s="1"/>
  <c r="D49" i="1"/>
  <c r="E49" i="1"/>
  <c r="M49" i="1"/>
  <c r="M63" i="1"/>
  <c r="E63" i="1"/>
  <c r="D63" i="1"/>
  <c r="M47" i="1"/>
  <c r="E47" i="1"/>
  <c r="D47" i="1"/>
  <c r="D35" i="1"/>
  <c r="E35" i="1"/>
  <c r="M35" i="1"/>
  <c r="D36" i="1"/>
  <c r="E36" i="1"/>
  <c r="M36" i="1"/>
  <c r="L45" i="1" a="1"/>
  <c r="L45" i="1" s="1"/>
  <c r="J31" i="3"/>
  <c r="J30" i="3"/>
  <c r="J29" i="3"/>
  <c r="J28" i="3"/>
  <c r="J27" i="3"/>
  <c r="J26" i="3"/>
  <c r="J25" i="3"/>
  <c r="J24" i="3"/>
  <c r="J23" i="3"/>
  <c r="F23" i="3" s="1"/>
  <c r="C22" i="3"/>
  <c r="J21" i="3"/>
  <c r="J20" i="3"/>
  <c r="J19" i="3"/>
  <c r="J18" i="3"/>
  <c r="J17" i="3"/>
  <c r="J16" i="3"/>
  <c r="J15" i="3"/>
  <c r="J14" i="3"/>
  <c r="J11" i="3"/>
  <c r="A11" i="3" s="1"/>
  <c r="J10" i="3"/>
  <c r="C10" i="3" s="1"/>
  <c r="J9" i="3"/>
  <c r="A9" i="3" s="1"/>
  <c r="J8" i="3"/>
  <c r="B8" i="3" s="1"/>
  <c r="J7" i="3"/>
  <c r="A7" i="3" s="1"/>
  <c r="J6" i="3"/>
  <c r="B6" i="3" s="1"/>
  <c r="J3" i="3"/>
  <c r="E3" i="3" s="1"/>
  <c r="J2" i="3"/>
  <c r="C2" i="3" s="1"/>
  <c r="D165" i="1"/>
  <c r="E165" i="1"/>
  <c r="M165" i="1"/>
  <c r="D168" i="1"/>
  <c r="E168" i="1"/>
  <c r="M168" i="1"/>
  <c r="D158" i="1"/>
  <c r="E158" i="1"/>
  <c r="M158" i="1"/>
  <c r="D161" i="1"/>
  <c r="E161" i="1"/>
  <c r="M161" i="1"/>
  <c r="D148" i="1"/>
  <c r="E148" i="1"/>
  <c r="M148" i="1"/>
  <c r="D151" i="1"/>
  <c r="E151" i="1"/>
  <c r="M151" i="1"/>
  <c r="D141" i="1"/>
  <c r="E141" i="1"/>
  <c r="M141" i="1"/>
  <c r="D144" i="1"/>
  <c r="E144" i="1"/>
  <c r="M144" i="1"/>
  <c r="D132" i="1"/>
  <c r="E132" i="1"/>
  <c r="M132" i="1"/>
  <c r="D133" i="1"/>
  <c r="E133" i="1"/>
  <c r="M133" i="1"/>
  <c r="D124" i="1"/>
  <c r="E124" i="1"/>
  <c r="M124" i="1"/>
  <c r="D125" i="1"/>
  <c r="E125" i="1"/>
  <c r="M125" i="1"/>
  <c r="D114" i="1"/>
  <c r="E114" i="1"/>
  <c r="M114" i="1"/>
  <c r="D115" i="1"/>
  <c r="E115" i="1"/>
  <c r="M115" i="1"/>
  <c r="D107" i="1"/>
  <c r="E107" i="1"/>
  <c r="M107" i="1"/>
  <c r="D108" i="1"/>
  <c r="E108" i="1"/>
  <c r="M108" i="1"/>
  <c r="D97" i="1"/>
  <c r="E97" i="1"/>
  <c r="M97" i="1"/>
  <c r="D98" i="1"/>
  <c r="E98" i="1"/>
  <c r="M98" i="1"/>
  <c r="D90" i="1"/>
  <c r="E90" i="1"/>
  <c r="M90" i="1"/>
  <c r="D91" i="1"/>
  <c r="E91" i="1"/>
  <c r="M91" i="1"/>
  <c r="D80" i="1"/>
  <c r="E80" i="1"/>
  <c r="M80" i="1"/>
  <c r="D81" i="1"/>
  <c r="E81" i="1"/>
  <c r="M81" i="1"/>
  <c r="D73" i="1"/>
  <c r="E73" i="1"/>
  <c r="M73" i="1"/>
  <c r="D74" i="1"/>
  <c r="E74" i="1"/>
  <c r="M74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I38" i="1"/>
  <c r="I34" i="1"/>
  <c r="H20" i="1"/>
  <c r="I20" i="1" s="1"/>
  <c r="H13" i="1"/>
  <c r="I13" i="1" s="1"/>
  <c r="H12" i="1"/>
  <c r="I12" i="1" s="1"/>
  <c r="H11" i="1"/>
  <c r="I11" i="1" s="1"/>
  <c r="H10" i="1"/>
  <c r="I10" i="1" s="1"/>
  <c r="M13" i="1"/>
  <c r="E13" i="1"/>
  <c r="D13" i="1"/>
  <c r="I163" i="1"/>
  <c r="I146" i="1"/>
  <c r="I128" i="1"/>
  <c r="I123" i="1"/>
  <c r="I122" i="1"/>
  <c r="I110" i="1"/>
  <c r="I106" i="1"/>
  <c r="I89" i="1"/>
  <c r="I88" i="1"/>
  <c r="I76" i="1"/>
  <c r="I72" i="1"/>
  <c r="I59" i="1"/>
  <c r="I55" i="1"/>
  <c r="I51" i="1"/>
  <c r="I50" i="1"/>
  <c r="E11" i="1"/>
  <c r="E12" i="1"/>
  <c r="E20" i="1"/>
  <c r="E21" i="1"/>
  <c r="E22" i="1"/>
  <c r="E23" i="1"/>
  <c r="E58" i="1"/>
  <c r="E48" i="1"/>
  <c r="E50" i="1"/>
  <c r="E51" i="1"/>
  <c r="E25" i="1"/>
  <c r="E26" i="1"/>
  <c r="E27" i="1"/>
  <c r="E28" i="1"/>
  <c r="E55" i="1"/>
  <c r="E56" i="1"/>
  <c r="E61" i="1"/>
  <c r="E62" i="1"/>
  <c r="E46" i="1"/>
  <c r="E54" i="1"/>
  <c r="E59" i="1"/>
  <c r="E60" i="1"/>
  <c r="E33" i="1"/>
  <c r="E34" i="1"/>
  <c r="E38" i="1"/>
  <c r="E39" i="1"/>
  <c r="E40" i="1"/>
  <c r="E41" i="1"/>
  <c r="E69" i="1"/>
  <c r="E70" i="1"/>
  <c r="E71" i="1"/>
  <c r="E72" i="1"/>
  <c r="E76" i="1"/>
  <c r="E77" i="1"/>
  <c r="E78" i="1"/>
  <c r="E79" i="1"/>
  <c r="E86" i="1"/>
  <c r="E87" i="1"/>
  <c r="E88" i="1"/>
  <c r="E89" i="1"/>
  <c r="E93" i="1"/>
  <c r="E94" i="1"/>
  <c r="E95" i="1"/>
  <c r="E96" i="1"/>
  <c r="E103" i="1"/>
  <c r="E104" i="1"/>
  <c r="E105" i="1"/>
  <c r="E106" i="1"/>
  <c r="E110" i="1"/>
  <c r="E111" i="1"/>
  <c r="E112" i="1"/>
  <c r="E113" i="1"/>
  <c r="E120" i="1"/>
  <c r="E121" i="1"/>
  <c r="E122" i="1"/>
  <c r="E123" i="1"/>
  <c r="E128" i="1"/>
  <c r="E129" i="1"/>
  <c r="E130" i="1"/>
  <c r="E131" i="1"/>
  <c r="E139" i="1"/>
  <c r="E140" i="1"/>
  <c r="E142" i="1"/>
  <c r="E143" i="1"/>
  <c r="E146" i="1"/>
  <c r="E147" i="1"/>
  <c r="E149" i="1"/>
  <c r="E150" i="1"/>
  <c r="E156" i="1"/>
  <c r="E157" i="1"/>
  <c r="E159" i="1"/>
  <c r="E160" i="1"/>
  <c r="E163" i="1"/>
  <c r="E164" i="1"/>
  <c r="E166" i="1"/>
  <c r="E167" i="1"/>
  <c r="E10" i="1"/>
  <c r="D11" i="1"/>
  <c r="D12" i="1"/>
  <c r="D20" i="1"/>
  <c r="D21" i="1"/>
  <c r="D22" i="1"/>
  <c r="D23" i="1"/>
  <c r="D58" i="1"/>
  <c r="D48" i="1"/>
  <c r="D50" i="1"/>
  <c r="D51" i="1"/>
  <c r="D25" i="1"/>
  <c r="D26" i="1"/>
  <c r="D27" i="1"/>
  <c r="D28" i="1"/>
  <c r="D55" i="1"/>
  <c r="D56" i="1"/>
  <c r="D61" i="1"/>
  <c r="D62" i="1"/>
  <c r="D46" i="1"/>
  <c r="D54" i="1"/>
  <c r="D59" i="1"/>
  <c r="D60" i="1"/>
  <c r="D33" i="1"/>
  <c r="D34" i="1"/>
  <c r="D38" i="1"/>
  <c r="D39" i="1"/>
  <c r="D40" i="1"/>
  <c r="D41" i="1"/>
  <c r="D69" i="1"/>
  <c r="D70" i="1"/>
  <c r="D71" i="1"/>
  <c r="D72" i="1"/>
  <c r="D76" i="1"/>
  <c r="D77" i="1"/>
  <c r="D78" i="1"/>
  <c r="D79" i="1"/>
  <c r="D86" i="1"/>
  <c r="D87" i="1"/>
  <c r="D88" i="1"/>
  <c r="D89" i="1"/>
  <c r="D93" i="1"/>
  <c r="D94" i="1"/>
  <c r="D95" i="1"/>
  <c r="D96" i="1"/>
  <c r="D103" i="1"/>
  <c r="D104" i="1"/>
  <c r="D105" i="1"/>
  <c r="D106" i="1"/>
  <c r="D110" i="1"/>
  <c r="D111" i="1"/>
  <c r="D112" i="1"/>
  <c r="D113" i="1"/>
  <c r="D120" i="1"/>
  <c r="D121" i="1"/>
  <c r="D122" i="1"/>
  <c r="D123" i="1"/>
  <c r="D128" i="1"/>
  <c r="D129" i="1"/>
  <c r="D130" i="1"/>
  <c r="D131" i="1"/>
  <c r="D139" i="1"/>
  <c r="D140" i="1"/>
  <c r="D142" i="1"/>
  <c r="D143" i="1"/>
  <c r="D146" i="1"/>
  <c r="D147" i="1"/>
  <c r="D149" i="1"/>
  <c r="D150" i="1"/>
  <c r="D156" i="1"/>
  <c r="D157" i="1"/>
  <c r="D159" i="1"/>
  <c r="D160" i="1"/>
  <c r="D163" i="1"/>
  <c r="D164" i="1"/>
  <c r="D166" i="1"/>
  <c r="D167" i="1"/>
  <c r="D10" i="1"/>
  <c r="M60" i="1"/>
  <c r="M59" i="1"/>
  <c r="M54" i="1"/>
  <c r="M46" i="1"/>
  <c r="M61" i="1"/>
  <c r="M62" i="1"/>
  <c r="M38" i="1"/>
  <c r="M39" i="1"/>
  <c r="M40" i="1"/>
  <c r="M41" i="1"/>
  <c r="M167" i="1"/>
  <c r="M166" i="1"/>
  <c r="M164" i="1"/>
  <c r="M163" i="1"/>
  <c r="M160" i="1"/>
  <c r="M159" i="1"/>
  <c r="M157" i="1"/>
  <c r="M156" i="1"/>
  <c r="M150" i="1"/>
  <c r="M149" i="1"/>
  <c r="M147" i="1"/>
  <c r="M146" i="1"/>
  <c r="M143" i="1"/>
  <c r="M142" i="1"/>
  <c r="M140" i="1"/>
  <c r="M139" i="1"/>
  <c r="M131" i="1"/>
  <c r="M130" i="1"/>
  <c r="M129" i="1"/>
  <c r="M128" i="1"/>
  <c r="M123" i="1"/>
  <c r="M122" i="1"/>
  <c r="M121" i="1"/>
  <c r="M120" i="1"/>
  <c r="M113" i="1"/>
  <c r="M112" i="1"/>
  <c r="M111" i="1"/>
  <c r="M110" i="1"/>
  <c r="M106" i="1"/>
  <c r="M105" i="1"/>
  <c r="M104" i="1"/>
  <c r="M103" i="1"/>
  <c r="M96" i="1"/>
  <c r="M95" i="1"/>
  <c r="M94" i="1"/>
  <c r="M93" i="1"/>
  <c r="M89" i="1"/>
  <c r="M88" i="1"/>
  <c r="M87" i="1"/>
  <c r="M86" i="1"/>
  <c r="M79" i="1"/>
  <c r="M78" i="1"/>
  <c r="M77" i="1"/>
  <c r="M76" i="1"/>
  <c r="M72" i="1"/>
  <c r="M71" i="1"/>
  <c r="M70" i="1"/>
  <c r="M69" i="1"/>
  <c r="M56" i="1"/>
  <c r="M11" i="1"/>
  <c r="M12" i="1"/>
  <c r="M20" i="1"/>
  <c r="M21" i="1"/>
  <c r="M22" i="1"/>
  <c r="M23" i="1"/>
  <c r="M58" i="1"/>
  <c r="M48" i="1"/>
  <c r="M50" i="1"/>
  <c r="M51" i="1"/>
  <c r="M25" i="1"/>
  <c r="M26" i="1"/>
  <c r="M27" i="1"/>
  <c r="M28" i="1"/>
  <c r="M55" i="1"/>
  <c r="M33" i="1"/>
  <c r="M34" i="1"/>
  <c r="M10" i="1"/>
  <c r="Q6" i="1"/>
  <c r="P6" i="1" s="1"/>
  <c r="O6" i="1" s="1"/>
  <c r="K13" i="1" s="1" a="1"/>
  <c r="K13" i="1" s="1"/>
  <c r="N13" i="1" s="1"/>
  <c r="P7" i="1"/>
  <c r="O7" i="1" s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S6" i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K35" i="1" s="1" a="1"/>
  <c r="K35" i="1" s="1"/>
  <c r="N35" i="1" s="1"/>
  <c r="F134" i="1" l="1"/>
  <c r="J134" i="1" s="1"/>
  <c r="AA34" i="3"/>
  <c r="AA36" i="3" s="1"/>
  <c r="AA37" i="3" s="1"/>
  <c r="AA38" i="3" s="1"/>
  <c r="AA39" i="3" s="1"/>
  <c r="F126" i="1"/>
  <c r="J126" i="1" s="1"/>
  <c r="K14" i="1" a="1"/>
  <c r="K14" i="1" s="1"/>
  <c r="N14" i="1" s="1"/>
  <c r="L14" i="1" a="1"/>
  <c r="L14" i="1" s="1"/>
  <c r="K15" i="1" a="1"/>
  <c r="K15" i="1" s="1"/>
  <c r="N15" i="1" s="1"/>
  <c r="L15" i="1" a="1"/>
  <c r="L15" i="1" s="1"/>
  <c r="C23" i="3"/>
  <c r="AG23" i="3" s="1"/>
  <c r="B9" i="3"/>
  <c r="AF9" i="3" s="1"/>
  <c r="AF4" i="3"/>
  <c r="A2" i="3"/>
  <c r="AE2" i="3" s="1"/>
  <c r="AE33" i="3" s="1"/>
  <c r="AE13" i="3"/>
  <c r="AF28" i="3"/>
  <c r="AE25" i="3"/>
  <c r="AE16" i="3"/>
  <c r="Y34" i="3"/>
  <c r="Y36" i="3" s="1"/>
  <c r="Y37" i="3" s="1"/>
  <c r="Y38" i="3" s="1"/>
  <c r="Y39" i="3" s="1"/>
  <c r="AF13" i="3"/>
  <c r="AJ12" i="3"/>
  <c r="AI12" i="3"/>
  <c r="AI3" i="3"/>
  <c r="X34" i="3"/>
  <c r="X36" i="3" s="1"/>
  <c r="X37" i="3" s="1"/>
  <c r="X38" i="3" s="1"/>
  <c r="X39" i="3" s="1"/>
  <c r="AH12" i="3"/>
  <c r="AF12" i="3"/>
  <c r="AE12" i="3"/>
  <c r="AH28" i="3"/>
  <c r="AH24" i="3"/>
  <c r="AG28" i="3"/>
  <c r="Z34" i="3"/>
  <c r="Z36" i="3" s="1"/>
  <c r="Z37" i="3" s="1"/>
  <c r="Z38" i="3" s="1"/>
  <c r="Z39" i="3" s="1"/>
  <c r="AI13" i="3"/>
  <c r="AE15" i="3"/>
  <c r="AG13" i="3"/>
  <c r="D9" i="3"/>
  <c r="AH9" i="3" s="1"/>
  <c r="C9" i="3"/>
  <c r="A23" i="3"/>
  <c r="F7" i="3"/>
  <c r="AJ7" i="3" s="1"/>
  <c r="AI26" i="3"/>
  <c r="E7" i="3"/>
  <c r="AI7" i="3" s="1"/>
  <c r="D3" i="3"/>
  <c r="AH3" i="3" s="1"/>
  <c r="AF24" i="3"/>
  <c r="D7" i="3"/>
  <c r="AH7" i="3" s="1"/>
  <c r="C3" i="3"/>
  <c r="AG3" i="3" s="1"/>
  <c r="E23" i="3"/>
  <c r="AI23" i="3" s="1"/>
  <c r="B3" i="3"/>
  <c r="AF3" i="3" s="1"/>
  <c r="D23" i="3"/>
  <c r="AH23" i="3" s="1"/>
  <c r="AG4" i="3"/>
  <c r="B23" i="3"/>
  <c r="AF23" i="3" s="1"/>
  <c r="AE5" i="3"/>
  <c r="B22" i="3"/>
  <c r="AF22" i="3" s="1"/>
  <c r="AH14" i="3"/>
  <c r="AJ27" i="3"/>
  <c r="AE28" i="3"/>
  <c r="AI27" i="3"/>
  <c r="AJ16" i="3"/>
  <c r="AH27" i="3"/>
  <c r="AI16" i="3"/>
  <c r="C7" i="3"/>
  <c r="AG7" i="3" s="1"/>
  <c r="AE20" i="3"/>
  <c r="AG27" i="3"/>
  <c r="AH16" i="3"/>
  <c r="B7" i="3"/>
  <c r="AF7" i="3" s="1"/>
  <c r="AF27" i="3"/>
  <c r="F6" i="3"/>
  <c r="AJ6" i="3" s="1"/>
  <c r="AE4" i="3"/>
  <c r="AG24" i="3"/>
  <c r="B10" i="3"/>
  <c r="AF10" i="3" s="1"/>
  <c r="E6" i="3"/>
  <c r="AI6" i="3" s="1"/>
  <c r="A3" i="3"/>
  <c r="AE3" i="3" s="1"/>
  <c r="AF30" i="3"/>
  <c r="F9" i="3"/>
  <c r="AJ9" i="3" s="1"/>
  <c r="F3" i="3"/>
  <c r="AJ3" i="3" s="1"/>
  <c r="AJ28" i="3"/>
  <c r="AG19" i="3"/>
  <c r="AJ4" i="3"/>
  <c r="AG5" i="3"/>
  <c r="B2" i="3"/>
  <c r="AF2" i="3" s="1"/>
  <c r="AJ26" i="3"/>
  <c r="E9" i="3"/>
  <c r="AI9" i="3" s="1"/>
  <c r="AF19" i="3"/>
  <c r="AH4" i="3"/>
  <c r="AF26" i="3"/>
  <c r="AJ25" i="3"/>
  <c r="AF16" i="3"/>
  <c r="AE18" i="3"/>
  <c r="AG29" i="3"/>
  <c r="AJ20" i="3"/>
  <c r="AH18" i="3"/>
  <c r="AJ15" i="3"/>
  <c r="A22" i="3"/>
  <c r="AE22" i="3" s="1"/>
  <c r="AH25" i="3"/>
  <c r="AI15" i="3"/>
  <c r="C11" i="3"/>
  <c r="AG11" i="3" s="1"/>
  <c r="F8" i="3"/>
  <c r="AJ8" i="3" s="1"/>
  <c r="D6" i="3"/>
  <c r="AH6" i="3" s="1"/>
  <c r="AG31" i="3"/>
  <c r="AH20" i="3"/>
  <c r="AF18" i="3"/>
  <c r="AI29" i="3"/>
  <c r="AJ18" i="3"/>
  <c r="AG16" i="3"/>
  <c r="AE19" i="3"/>
  <c r="A6" i="3"/>
  <c r="AE6" i="3" s="1"/>
  <c r="AG25" i="3"/>
  <c r="F22" i="3"/>
  <c r="AJ22" i="3" s="1"/>
  <c r="AH15" i="3"/>
  <c r="B11" i="3"/>
  <c r="AF11" i="3" s="1"/>
  <c r="E8" i="3"/>
  <c r="AI8" i="3" s="1"/>
  <c r="C6" i="3"/>
  <c r="AG6" i="3" s="1"/>
  <c r="F2" i="3"/>
  <c r="AJ2" i="3" s="1"/>
  <c r="AE31" i="3"/>
  <c r="AF31" i="3"/>
  <c r="AG20" i="3"/>
  <c r="AJ17" i="3"/>
  <c r="AF6" i="3"/>
  <c r="AE14" i="3"/>
  <c r="F11" i="3"/>
  <c r="AJ11" i="3" s="1"/>
  <c r="AJ31" i="3"/>
  <c r="E11" i="3"/>
  <c r="AI31" i="3"/>
  <c r="AI25" i="3"/>
  <c r="D11" i="3"/>
  <c r="AH11" i="3" s="1"/>
  <c r="AE17" i="3"/>
  <c r="AF29" i="3"/>
  <c r="AI20" i="3"/>
  <c r="AG18" i="3"/>
  <c r="AE24" i="3"/>
  <c r="AF25" i="3"/>
  <c r="E22" i="3"/>
  <c r="AI22" i="3" s="1"/>
  <c r="AG15" i="3"/>
  <c r="F10" i="3"/>
  <c r="AJ10" i="3" s="1"/>
  <c r="D8" i="3"/>
  <c r="AH8" i="3" s="1"/>
  <c r="E2" i="3"/>
  <c r="AI2" i="3" s="1"/>
  <c r="AE30" i="3"/>
  <c r="AJ30" i="3"/>
  <c r="AI17" i="3"/>
  <c r="AJ5" i="3"/>
  <c r="A8" i="3"/>
  <c r="AE8" i="3" s="1"/>
  <c r="AJ24" i="3"/>
  <c r="D22" i="3"/>
  <c r="AH22" i="3" s="1"/>
  <c r="AF15" i="3"/>
  <c r="E10" i="3"/>
  <c r="AI10" i="3" s="1"/>
  <c r="C8" i="3"/>
  <c r="AG8" i="3" s="1"/>
  <c r="D2" i="3"/>
  <c r="AH2" i="3" s="1"/>
  <c r="AE29" i="3"/>
  <c r="AI30" i="3"/>
  <c r="AJ19" i="3"/>
  <c r="AH17" i="3"/>
  <c r="AI5" i="3"/>
  <c r="AG26" i="3"/>
  <c r="AG14" i="3"/>
  <c r="AJ29" i="3"/>
  <c r="AF14" i="3"/>
  <c r="AE26" i="3"/>
  <c r="AI24" i="3"/>
  <c r="AJ14" i="3"/>
  <c r="D10" i="3"/>
  <c r="AH10" i="3" s="1"/>
  <c r="AE7" i="3"/>
  <c r="AH30" i="3"/>
  <c r="AI19" i="3"/>
  <c r="AG17" i="3"/>
  <c r="AH13" i="3"/>
  <c r="AH5" i="3"/>
  <c r="AF5" i="3"/>
  <c r="AH26" i="3"/>
  <c r="A10" i="3"/>
  <c r="AE10" i="3" s="1"/>
  <c r="AF8" i="3"/>
  <c r="AG22" i="3"/>
  <c r="AG10" i="3"/>
  <c r="AJ21" i="3"/>
  <c r="AI14" i="3"/>
  <c r="AE23" i="3"/>
  <c r="AE11" i="3"/>
  <c r="AI21" i="3"/>
  <c r="AJ23" i="3"/>
  <c r="AH21" i="3"/>
  <c r="AI4" i="3"/>
  <c r="AE21" i="3"/>
  <c r="AE9" i="3"/>
  <c r="AG21" i="3"/>
  <c r="AI11" i="3"/>
  <c r="AG9" i="3"/>
  <c r="AG2" i="3"/>
  <c r="F14" i="1"/>
  <c r="J14" i="1" s="1"/>
  <c r="I16" i="1"/>
  <c r="E16" i="1"/>
  <c r="F15" i="1"/>
  <c r="J15" i="1" s="1"/>
  <c r="F97" i="1"/>
  <c r="J97" i="1" s="1"/>
  <c r="F64" i="1"/>
  <c r="J64" i="1" s="1"/>
  <c r="F57" i="1"/>
  <c r="J57" i="1" s="1"/>
  <c r="K49" i="1" a="1"/>
  <c r="K49" i="1" s="1"/>
  <c r="N49" i="1" s="1"/>
  <c r="F49" i="1"/>
  <c r="J49" i="1" s="1"/>
  <c r="F63" i="1"/>
  <c r="J63" i="1" s="1"/>
  <c r="K63" i="1" a="1"/>
  <c r="K63" i="1" s="1"/>
  <c r="N63" i="1" s="1"/>
  <c r="F47" i="1"/>
  <c r="J47" i="1" s="1"/>
  <c r="L20" i="1" a="1"/>
  <c r="L20" i="1" s="1"/>
  <c r="K54" i="1" a="1"/>
  <c r="K54" i="1" s="1"/>
  <c r="L21" i="1" a="1"/>
  <c r="L21" i="1" s="1"/>
  <c r="L22" i="1" a="1"/>
  <c r="L22" i="1" s="1"/>
  <c r="K36" i="1" a="1"/>
  <c r="K36" i="1" s="1"/>
  <c r="N36" i="1" s="1"/>
  <c r="L23" i="1" a="1"/>
  <c r="L23" i="1" s="1"/>
  <c r="L25" i="1" a="1"/>
  <c r="L25" i="1" s="1"/>
  <c r="F36" i="1"/>
  <c r="J36" i="1" s="1"/>
  <c r="L26" i="1" a="1"/>
  <c r="L26" i="1" s="1"/>
  <c r="K60" i="1" a="1"/>
  <c r="K60" i="1" s="1"/>
  <c r="L27" i="1" a="1"/>
  <c r="L27" i="1" s="1"/>
  <c r="L28" i="1" a="1"/>
  <c r="L28" i="1" s="1"/>
  <c r="K61" i="1" a="1"/>
  <c r="K61" i="1" s="1"/>
  <c r="K62" i="1" a="1"/>
  <c r="K62" i="1" s="1"/>
  <c r="F35" i="1"/>
  <c r="J35" i="1" s="1"/>
  <c r="I29" i="1"/>
  <c r="E29" i="1"/>
  <c r="E42" i="1"/>
  <c r="I42" i="1"/>
  <c r="CK192" i="1"/>
  <c r="CK184" i="1"/>
  <c r="F107" i="1"/>
  <c r="J107" i="1" s="1"/>
  <c r="F74" i="1"/>
  <c r="J74" i="1" s="1"/>
  <c r="F91" i="1"/>
  <c r="J91" i="1" s="1"/>
  <c r="F161" i="1"/>
  <c r="J161" i="1" s="1"/>
  <c r="E169" i="1"/>
  <c r="E116" i="1"/>
  <c r="F151" i="1"/>
  <c r="J151" i="1" s="1"/>
  <c r="I169" i="1"/>
  <c r="E135" i="1"/>
  <c r="E82" i="1"/>
  <c r="E65" i="1"/>
  <c r="F81" i="1"/>
  <c r="J81" i="1" s="1"/>
  <c r="F90" i="1"/>
  <c r="J90" i="1" s="1"/>
  <c r="I65" i="1"/>
  <c r="E152" i="1"/>
  <c r="F141" i="1"/>
  <c r="J141" i="1" s="1"/>
  <c r="F80" i="1"/>
  <c r="J80" i="1" s="1"/>
  <c r="F98" i="1"/>
  <c r="J98" i="1" s="1"/>
  <c r="I82" i="1"/>
  <c r="I135" i="1"/>
  <c r="I116" i="1"/>
  <c r="F124" i="1"/>
  <c r="J124" i="1" s="1"/>
  <c r="F132" i="1"/>
  <c r="J132" i="1" s="1"/>
  <c r="F144" i="1"/>
  <c r="J144" i="1" s="1"/>
  <c r="F148" i="1"/>
  <c r="J148" i="1" s="1"/>
  <c r="F73" i="1"/>
  <c r="J73" i="1" s="1"/>
  <c r="F158" i="1"/>
  <c r="J158" i="1" s="1"/>
  <c r="F108" i="1"/>
  <c r="J108" i="1" s="1"/>
  <c r="F125" i="1"/>
  <c r="J125" i="1" s="1"/>
  <c r="F165" i="1"/>
  <c r="J165" i="1" s="1"/>
  <c r="F114" i="1"/>
  <c r="J114" i="1" s="1"/>
  <c r="F133" i="1"/>
  <c r="J133" i="1" s="1"/>
  <c r="F115" i="1"/>
  <c r="J115" i="1" s="1"/>
  <c r="F168" i="1"/>
  <c r="J168" i="1" s="1"/>
  <c r="I152" i="1"/>
  <c r="I99" i="1"/>
  <c r="E99" i="1"/>
  <c r="CB175" i="1"/>
  <c r="CE175" i="1"/>
  <c r="CA175" i="1"/>
  <c r="CD175" i="1"/>
  <c r="BZ175" i="1"/>
  <c r="CC175" i="1"/>
  <c r="CB174" i="1"/>
  <c r="CE174" i="1"/>
  <c r="CA174" i="1"/>
  <c r="CD174" i="1"/>
  <c r="BZ174" i="1"/>
  <c r="CC174" i="1"/>
  <c r="CB173" i="1"/>
  <c r="CE173" i="1"/>
  <c r="CA173" i="1"/>
  <c r="CD173" i="1"/>
  <c r="BZ173" i="1"/>
  <c r="CC173" i="1"/>
  <c r="F13" i="1"/>
  <c r="J13" i="1" s="1"/>
  <c r="F33" i="1"/>
  <c r="J33" i="1" s="1"/>
  <c r="F78" i="1"/>
  <c r="J78" i="1" s="1"/>
  <c r="F23" i="1"/>
  <c r="J23" i="1" s="1"/>
  <c r="F130" i="1"/>
  <c r="J130" i="1" s="1"/>
  <c r="F72" i="1"/>
  <c r="J72" i="1" s="1"/>
  <c r="F60" i="1"/>
  <c r="J60" i="1" s="1"/>
  <c r="F10" i="1"/>
  <c r="F156" i="1"/>
  <c r="F142" i="1"/>
  <c r="J142" i="1" s="1"/>
  <c r="F79" i="1"/>
  <c r="J79" i="1" s="1"/>
  <c r="F164" i="1"/>
  <c r="J164" i="1" s="1"/>
  <c r="F150" i="1"/>
  <c r="J150" i="1" s="1"/>
  <c r="F120" i="1"/>
  <c r="F105" i="1"/>
  <c r="J105" i="1" s="1"/>
  <c r="F39" i="1"/>
  <c r="J39" i="1" s="1"/>
  <c r="F12" i="1"/>
  <c r="J12" i="1" s="1"/>
  <c r="F163" i="1"/>
  <c r="J163" i="1" s="1"/>
  <c r="F149" i="1"/>
  <c r="J149" i="1" s="1"/>
  <c r="F54" i="1"/>
  <c r="J54" i="1" s="1"/>
  <c r="F11" i="1"/>
  <c r="J11" i="1" s="1"/>
  <c r="F147" i="1"/>
  <c r="J147" i="1" s="1"/>
  <c r="F131" i="1"/>
  <c r="J131" i="1" s="1"/>
  <c r="F103" i="1"/>
  <c r="F88" i="1"/>
  <c r="J88" i="1" s="1"/>
  <c r="F46" i="1"/>
  <c r="F62" i="1"/>
  <c r="J62" i="1" s="1"/>
  <c r="F50" i="1"/>
  <c r="J50" i="1" s="1"/>
  <c r="F113" i="1"/>
  <c r="J113" i="1" s="1"/>
  <c r="F71" i="1"/>
  <c r="J71" i="1" s="1"/>
  <c r="F61" i="1"/>
  <c r="J61" i="1" s="1"/>
  <c r="F106" i="1"/>
  <c r="J106" i="1" s="1"/>
  <c r="F76" i="1"/>
  <c r="J76" i="1" s="1"/>
  <c r="F40" i="1"/>
  <c r="J40" i="1" s="1"/>
  <c r="F160" i="1"/>
  <c r="J160" i="1" s="1"/>
  <c r="F128" i="1"/>
  <c r="J128" i="1" s="1"/>
  <c r="F112" i="1"/>
  <c r="J112" i="1" s="1"/>
  <c r="F70" i="1"/>
  <c r="J70" i="1" s="1"/>
  <c r="F56" i="1"/>
  <c r="J56" i="1" s="1"/>
  <c r="F58" i="1"/>
  <c r="F111" i="1"/>
  <c r="J111" i="1" s="1"/>
  <c r="F96" i="1"/>
  <c r="J96" i="1" s="1"/>
  <c r="F48" i="1"/>
  <c r="J48" i="1" s="1"/>
  <c r="F167" i="1"/>
  <c r="J167" i="1" s="1"/>
  <c r="F139" i="1"/>
  <c r="F122" i="1"/>
  <c r="J122" i="1" s="1"/>
  <c r="F77" i="1"/>
  <c r="J77" i="1" s="1"/>
  <c r="F41" i="1"/>
  <c r="J41" i="1" s="1"/>
  <c r="F26" i="1"/>
  <c r="J26" i="1" s="1"/>
  <c r="F20" i="1"/>
  <c r="F159" i="1"/>
  <c r="J159" i="1" s="1"/>
  <c r="F69" i="1"/>
  <c r="F166" i="1"/>
  <c r="J166" i="1" s="1"/>
  <c r="F121" i="1"/>
  <c r="J121" i="1" s="1"/>
  <c r="F25" i="1"/>
  <c r="J25" i="1" s="1"/>
  <c r="F146" i="1"/>
  <c r="J146" i="1" s="1"/>
  <c r="F87" i="1"/>
  <c r="J87" i="1" s="1"/>
  <c r="F51" i="1"/>
  <c r="J51" i="1" s="1"/>
  <c r="F104" i="1"/>
  <c r="J104" i="1" s="1"/>
  <c r="F89" i="1"/>
  <c r="J89" i="1" s="1"/>
  <c r="F38" i="1"/>
  <c r="J38" i="1" s="1"/>
  <c r="F59" i="1"/>
  <c r="J59" i="1" s="1"/>
  <c r="F157" i="1"/>
  <c r="J157" i="1" s="1"/>
  <c r="F143" i="1"/>
  <c r="J143" i="1" s="1"/>
  <c r="F110" i="1"/>
  <c r="J110" i="1" s="1"/>
  <c r="F95" i="1"/>
  <c r="J95" i="1" s="1"/>
  <c r="F34" i="1"/>
  <c r="J34" i="1" s="1"/>
  <c r="F55" i="1"/>
  <c r="J55" i="1" s="1"/>
  <c r="F94" i="1"/>
  <c r="J94" i="1" s="1"/>
  <c r="F28" i="1"/>
  <c r="J28" i="1" s="1"/>
  <c r="F22" i="1"/>
  <c r="F129" i="1"/>
  <c r="F86" i="1"/>
  <c r="F140" i="1"/>
  <c r="J140" i="1" s="1"/>
  <c r="F123" i="1"/>
  <c r="J123" i="1" s="1"/>
  <c r="F93" i="1"/>
  <c r="J93" i="1" s="1"/>
  <c r="F27" i="1"/>
  <c r="J27" i="1" s="1"/>
  <c r="F21" i="1"/>
  <c r="J21" i="1" s="1"/>
  <c r="Y175" i="1"/>
  <c r="O173" i="1"/>
  <c r="P173" i="1"/>
  <c r="AB173" i="1"/>
  <c r="AN173" i="1"/>
  <c r="AZ173" i="1"/>
  <c r="BL173" i="1"/>
  <c r="BX173" i="1"/>
  <c r="Z174" i="1"/>
  <c r="AL174" i="1"/>
  <c r="AX174" i="1"/>
  <c r="BJ174" i="1"/>
  <c r="BV174" i="1"/>
  <c r="X175" i="1"/>
  <c r="AJ175" i="1"/>
  <c r="AV175" i="1"/>
  <c r="BH175" i="1"/>
  <c r="BT175" i="1"/>
  <c r="O175" i="1"/>
  <c r="R173" i="1"/>
  <c r="AD173" i="1"/>
  <c r="AP173" i="1"/>
  <c r="BB173" i="1"/>
  <c r="BN173" i="1"/>
  <c r="P174" i="1"/>
  <c r="AB174" i="1"/>
  <c r="AN174" i="1"/>
  <c r="AZ174" i="1"/>
  <c r="BL174" i="1"/>
  <c r="BX174" i="1"/>
  <c r="Z175" i="1"/>
  <c r="AL175" i="1"/>
  <c r="AX175" i="1"/>
  <c r="BJ175" i="1"/>
  <c r="BV175" i="1"/>
  <c r="S173" i="1"/>
  <c r="AE173" i="1"/>
  <c r="AQ173" i="1"/>
  <c r="BC173" i="1"/>
  <c r="BO173" i="1"/>
  <c r="Q174" i="1"/>
  <c r="AC174" i="1"/>
  <c r="AO174" i="1"/>
  <c r="BA174" i="1"/>
  <c r="BM174" i="1"/>
  <c r="BY174" i="1"/>
  <c r="AA175" i="1"/>
  <c r="AM175" i="1"/>
  <c r="AY175" i="1"/>
  <c r="BK175" i="1"/>
  <c r="BW175" i="1"/>
  <c r="O174" i="1"/>
  <c r="AC173" i="1"/>
  <c r="BA173" i="1"/>
  <c r="BY173" i="1"/>
  <c r="AA174" i="1"/>
  <c r="AY174" i="1"/>
  <c r="BW174" i="1"/>
  <c r="T173" i="1"/>
  <c r="AF173" i="1"/>
  <c r="AR173" i="1"/>
  <c r="BD173" i="1"/>
  <c r="BP173" i="1"/>
  <c r="R174" i="1"/>
  <c r="AD174" i="1"/>
  <c r="AP174" i="1"/>
  <c r="BB174" i="1"/>
  <c r="BN174" i="1"/>
  <c r="P175" i="1"/>
  <c r="AB175" i="1"/>
  <c r="AN175" i="1"/>
  <c r="AZ175" i="1"/>
  <c r="BL175" i="1"/>
  <c r="BX175" i="1"/>
  <c r="U173" i="1"/>
  <c r="AG173" i="1"/>
  <c r="AS173" i="1"/>
  <c r="BE173" i="1"/>
  <c r="BQ173" i="1"/>
  <c r="S174" i="1"/>
  <c r="AE174" i="1"/>
  <c r="AQ174" i="1"/>
  <c r="BC174" i="1"/>
  <c r="BO174" i="1"/>
  <c r="Q175" i="1"/>
  <c r="AC175" i="1"/>
  <c r="AO175" i="1"/>
  <c r="BA175" i="1"/>
  <c r="BM175" i="1"/>
  <c r="BY175" i="1"/>
  <c r="Q173" i="1"/>
  <c r="AO173" i="1"/>
  <c r="BM173" i="1"/>
  <c r="AM174" i="1"/>
  <c r="BK174" i="1"/>
  <c r="V173" i="1"/>
  <c r="AH173" i="1"/>
  <c r="AT173" i="1"/>
  <c r="BF173" i="1"/>
  <c r="BR173" i="1"/>
  <c r="T174" i="1"/>
  <c r="AF174" i="1"/>
  <c r="AR174" i="1"/>
  <c r="BD174" i="1"/>
  <c r="BP174" i="1"/>
  <c r="R175" i="1"/>
  <c r="AD175" i="1"/>
  <c r="AP175" i="1"/>
  <c r="BB175" i="1"/>
  <c r="BN175" i="1"/>
  <c r="AK175" i="1"/>
  <c r="AW175" i="1"/>
  <c r="BI175" i="1"/>
  <c r="BU175" i="1"/>
  <c r="W173" i="1"/>
  <c r="AI173" i="1"/>
  <c r="AU173" i="1"/>
  <c r="BG173" i="1"/>
  <c r="BS173" i="1"/>
  <c r="U174" i="1"/>
  <c r="AG174" i="1"/>
  <c r="AS174" i="1"/>
  <c r="BE174" i="1"/>
  <c r="BQ174" i="1"/>
  <c r="S175" i="1"/>
  <c r="AE175" i="1"/>
  <c r="AQ175" i="1"/>
  <c r="BC175" i="1"/>
  <c r="BO175" i="1"/>
  <c r="X173" i="1"/>
  <c r="AJ173" i="1"/>
  <c r="AV173" i="1"/>
  <c r="BH173" i="1"/>
  <c r="BT173" i="1"/>
  <c r="V174" i="1"/>
  <c r="AH174" i="1"/>
  <c r="AT174" i="1"/>
  <c r="BF174" i="1"/>
  <c r="BR174" i="1"/>
  <c r="T175" i="1"/>
  <c r="AF175" i="1"/>
  <c r="AR175" i="1"/>
  <c r="BD175" i="1"/>
  <c r="BP175" i="1"/>
  <c r="Y173" i="1"/>
  <c r="AK173" i="1"/>
  <c r="AW173" i="1"/>
  <c r="BI173" i="1"/>
  <c r="BU173" i="1"/>
  <c r="W174" i="1"/>
  <c r="AI174" i="1"/>
  <c r="AU174" i="1"/>
  <c r="BG174" i="1"/>
  <c r="BS174" i="1"/>
  <c r="U175" i="1"/>
  <c r="AG175" i="1"/>
  <c r="AS175" i="1"/>
  <c r="BE175" i="1"/>
  <c r="BQ175" i="1"/>
  <c r="Z173" i="1"/>
  <c r="AL173" i="1"/>
  <c r="AX173" i="1"/>
  <c r="BJ173" i="1"/>
  <c r="BV173" i="1"/>
  <c r="X174" i="1"/>
  <c r="AJ174" i="1"/>
  <c r="AV174" i="1"/>
  <c r="BH174" i="1"/>
  <c r="BT174" i="1"/>
  <c r="V175" i="1"/>
  <c r="AH175" i="1"/>
  <c r="AT175" i="1"/>
  <c r="BF175" i="1"/>
  <c r="BR175" i="1"/>
  <c r="AA173" i="1"/>
  <c r="AM173" i="1"/>
  <c r="AY173" i="1"/>
  <c r="BK173" i="1"/>
  <c r="BW173" i="1"/>
  <c r="Y174" i="1"/>
  <c r="AK174" i="1"/>
  <c r="AW174" i="1"/>
  <c r="BI174" i="1"/>
  <c r="BU174" i="1"/>
  <c r="W175" i="1"/>
  <c r="AI175" i="1"/>
  <c r="AU175" i="1"/>
  <c r="BG175" i="1"/>
  <c r="BS175" i="1"/>
  <c r="AJ6" i="1"/>
  <c r="K21" i="1" a="1"/>
  <c r="K21" i="1" s="1"/>
  <c r="N21" i="1" s="1"/>
  <c r="K23" i="1" a="1"/>
  <c r="K23" i="1" s="1"/>
  <c r="N23" i="1" s="1"/>
  <c r="K20" i="1" a="1"/>
  <c r="K20" i="1" s="1"/>
  <c r="N20" i="1" s="1"/>
  <c r="K22" i="1" a="1"/>
  <c r="K22" i="1" s="1"/>
  <c r="N22" i="1" s="1"/>
  <c r="K10" i="1" a="1"/>
  <c r="K10" i="1" s="1"/>
  <c r="N10" i="1" s="1"/>
  <c r="K11" i="1" a="1"/>
  <c r="K11" i="1" s="1"/>
  <c r="N11" i="1" s="1"/>
  <c r="K12" i="1" a="1"/>
  <c r="K12" i="1" s="1"/>
  <c r="N12" i="1" s="1"/>
  <c r="AC34" i="3" l="1"/>
  <c r="AK12" i="3"/>
  <c r="AK28" i="3"/>
  <c r="AK25" i="3"/>
  <c r="AK13" i="3"/>
  <c r="AK15" i="3"/>
  <c r="AK5" i="3"/>
  <c r="AK27" i="3"/>
  <c r="AK14" i="3"/>
  <c r="AK3" i="3"/>
  <c r="AK16" i="3"/>
  <c r="AK6" i="3"/>
  <c r="AK17" i="3"/>
  <c r="AK8" i="3"/>
  <c r="AK7" i="3"/>
  <c r="AK30" i="3"/>
  <c r="AK4" i="3"/>
  <c r="AK11" i="3"/>
  <c r="AK29" i="3"/>
  <c r="AK31" i="3"/>
  <c r="AK2" i="3"/>
  <c r="AK21" i="3"/>
  <c r="AK10" i="3"/>
  <c r="AK26" i="3"/>
  <c r="AK22" i="3"/>
  <c r="AK23" i="3"/>
  <c r="AK18" i="3"/>
  <c r="AK20" i="3"/>
  <c r="AK9" i="3"/>
  <c r="AK19" i="3"/>
  <c r="AK24" i="3"/>
  <c r="AF33" i="3"/>
  <c r="AJ33" i="3"/>
  <c r="AG33" i="3"/>
  <c r="AH33" i="3"/>
  <c r="AI33" i="3"/>
  <c r="F16" i="1"/>
  <c r="I43" i="1"/>
  <c r="I170" i="1" s="1"/>
  <c r="E43" i="1"/>
  <c r="AD34" i="3" s="1"/>
  <c r="J42" i="1"/>
  <c r="F42" i="1"/>
  <c r="J22" i="1"/>
  <c r="F29" i="1"/>
  <c r="CK176" i="1"/>
  <c r="F99" i="1"/>
  <c r="F169" i="1"/>
  <c r="F152" i="1"/>
  <c r="J69" i="1"/>
  <c r="J82" i="1" s="1"/>
  <c r="F82" i="1"/>
  <c r="J20" i="1"/>
  <c r="J46" i="1"/>
  <c r="F65" i="1"/>
  <c r="J120" i="1"/>
  <c r="F135" i="1"/>
  <c r="F116" i="1"/>
  <c r="J156" i="1"/>
  <c r="J169" i="1" s="1"/>
  <c r="J139" i="1"/>
  <c r="J152" i="1" s="1"/>
  <c r="Z194" i="1"/>
  <c r="Z196" i="1" s="1"/>
  <c r="J129" i="1"/>
  <c r="BZ194" i="1"/>
  <c r="BZ196" i="1" s="1"/>
  <c r="CA194" i="1"/>
  <c r="CA196" i="1" s="1"/>
  <c r="J103" i="1"/>
  <c r="J116" i="1" s="1"/>
  <c r="CC194" i="1"/>
  <c r="CC196" i="1" s="1"/>
  <c r="S194" i="1"/>
  <c r="S196" i="1" s="1"/>
  <c r="AF194" i="1"/>
  <c r="AF196" i="1" s="1"/>
  <c r="BM194" i="1"/>
  <c r="BM196" i="1" s="1"/>
  <c r="AL194" i="1"/>
  <c r="AL196" i="1" s="1"/>
  <c r="CD194" i="1"/>
  <c r="CD196" i="1" s="1"/>
  <c r="AV194" i="1"/>
  <c r="AV196" i="1" s="1"/>
  <c r="BS194" i="1"/>
  <c r="BS196" i="1" s="1"/>
  <c r="T194" i="1"/>
  <c r="T196" i="1" s="1"/>
  <c r="J86" i="1"/>
  <c r="J99" i="1" s="1"/>
  <c r="BA194" i="1"/>
  <c r="BA196" i="1" s="1"/>
  <c r="AW194" i="1"/>
  <c r="AW196" i="1" s="1"/>
  <c r="BF194" i="1"/>
  <c r="BF196" i="1" s="1"/>
  <c r="U194" i="1"/>
  <c r="U196" i="1" s="1"/>
  <c r="BP194" i="1"/>
  <c r="BP196" i="1" s="1"/>
  <c r="BC194" i="1"/>
  <c r="BC196" i="1" s="1"/>
  <c r="P194" i="1"/>
  <c r="P196" i="1" s="1"/>
  <c r="BT194" i="1"/>
  <c r="BT196" i="1" s="1"/>
  <c r="AT194" i="1"/>
  <c r="AT196" i="1" s="1"/>
  <c r="BD194" i="1"/>
  <c r="BD196" i="1" s="1"/>
  <c r="AQ194" i="1"/>
  <c r="AQ196" i="1" s="1"/>
  <c r="O194" i="1"/>
  <c r="O196" i="1" s="1"/>
  <c r="Y194" i="1"/>
  <c r="Y196" i="1" s="1"/>
  <c r="BH194" i="1"/>
  <c r="BH196" i="1" s="1"/>
  <c r="AR194" i="1"/>
  <c r="AR196" i="1" s="1"/>
  <c r="AE194" i="1"/>
  <c r="AE196" i="1" s="1"/>
  <c r="AX194" i="1"/>
  <c r="AX196" i="1" s="1"/>
  <c r="AJ194" i="1"/>
  <c r="AJ196" i="1" s="1"/>
  <c r="BB194" i="1"/>
  <c r="BB196" i="1" s="1"/>
  <c r="V194" i="1"/>
  <c r="V196" i="1" s="1"/>
  <c r="BK194" i="1"/>
  <c r="BK196" i="1" s="1"/>
  <c r="X194" i="1"/>
  <c r="X196" i="1" s="1"/>
  <c r="BG194" i="1"/>
  <c r="BG196" i="1" s="1"/>
  <c r="AP194" i="1"/>
  <c r="AP196" i="1" s="1"/>
  <c r="AY194" i="1"/>
  <c r="AY196" i="1" s="1"/>
  <c r="AU194" i="1"/>
  <c r="AU196" i="1" s="1"/>
  <c r="AD194" i="1"/>
  <c r="AD196" i="1" s="1"/>
  <c r="CE194" i="1"/>
  <c r="CE196" i="1" s="1"/>
  <c r="AM194" i="1"/>
  <c r="AM196" i="1" s="1"/>
  <c r="BV194" i="1"/>
  <c r="BV196" i="1" s="1"/>
  <c r="AI194" i="1"/>
  <c r="AI196" i="1" s="1"/>
  <c r="AO194" i="1"/>
  <c r="AO196" i="1" s="1"/>
  <c r="R194" i="1"/>
  <c r="R196" i="1" s="1"/>
  <c r="BX194" i="1"/>
  <c r="BX196" i="1" s="1"/>
  <c r="CB194" i="1"/>
  <c r="CB196" i="1" s="1"/>
  <c r="AK194" i="1"/>
  <c r="AK196" i="1" s="1"/>
  <c r="BW194" i="1"/>
  <c r="BW196" i="1" s="1"/>
  <c r="AA194" i="1"/>
  <c r="AA196" i="1" s="1"/>
  <c r="BJ194" i="1"/>
  <c r="BJ196" i="1" s="1"/>
  <c r="W194" i="1"/>
  <c r="W196" i="1" s="1"/>
  <c r="Q194" i="1"/>
  <c r="Q196" i="1" s="1"/>
  <c r="BQ194" i="1"/>
  <c r="BQ196" i="1" s="1"/>
  <c r="BY194" i="1"/>
  <c r="BY196" i="1" s="1"/>
  <c r="BL194" i="1"/>
  <c r="BL196" i="1" s="1"/>
  <c r="BN194" i="1"/>
  <c r="BN196" i="1" s="1"/>
  <c r="AZ194" i="1"/>
  <c r="AZ196" i="1" s="1"/>
  <c r="BU194" i="1"/>
  <c r="BU196" i="1" s="1"/>
  <c r="AS194" i="1"/>
  <c r="AS196" i="1" s="1"/>
  <c r="AC194" i="1"/>
  <c r="AC196" i="1" s="1"/>
  <c r="AN194" i="1"/>
  <c r="AN196" i="1" s="1"/>
  <c r="AH194" i="1"/>
  <c r="AH196" i="1" s="1"/>
  <c r="BE194" i="1"/>
  <c r="BE196" i="1" s="1"/>
  <c r="BI194" i="1"/>
  <c r="BI196" i="1" s="1"/>
  <c r="BR194" i="1"/>
  <c r="BR196" i="1" s="1"/>
  <c r="AG194" i="1"/>
  <c r="AG196" i="1" s="1"/>
  <c r="BO194" i="1"/>
  <c r="BO196" i="1" s="1"/>
  <c r="AB194" i="1"/>
  <c r="AB196" i="1" s="1"/>
  <c r="J58" i="1"/>
  <c r="J10" i="1"/>
  <c r="J16" i="1" s="1"/>
  <c r="AK6" i="1"/>
  <c r="AL6" i="1" s="1"/>
  <c r="K25" i="1" a="1"/>
  <c r="K25" i="1" s="1"/>
  <c r="N25" i="1" s="1"/>
  <c r="K48" i="1" a="1"/>
  <c r="K48" i="1" s="1"/>
  <c r="N48" i="1" s="1"/>
  <c r="K58" i="1" a="1"/>
  <c r="K58" i="1" s="1"/>
  <c r="N58" i="1" s="1"/>
  <c r="K28" i="1" a="1"/>
  <c r="K28" i="1" s="1"/>
  <c r="N28" i="1" s="1"/>
  <c r="K27" i="1" a="1"/>
  <c r="K27" i="1" s="1"/>
  <c r="N27" i="1" s="1"/>
  <c r="K26" i="1" a="1"/>
  <c r="K26" i="1" s="1"/>
  <c r="N26" i="1" s="1"/>
  <c r="K51" i="1" a="1"/>
  <c r="K51" i="1" s="1"/>
  <c r="N51" i="1" s="1"/>
  <c r="K50" i="1" a="1"/>
  <c r="K50" i="1" s="1"/>
  <c r="N50" i="1" s="1"/>
  <c r="E170" i="1" l="1"/>
  <c r="AK33" i="3"/>
  <c r="AF32" i="3" s="1"/>
  <c r="AF34" i="3" s="1"/>
  <c r="F43" i="1"/>
  <c r="F170" i="1" s="1"/>
  <c r="J29" i="1"/>
  <c r="J43" i="1" s="1"/>
  <c r="J135" i="1"/>
  <c r="CK194" i="1"/>
  <c r="CL194" i="1" s="1"/>
  <c r="J65" i="1"/>
  <c r="K46" i="1" a="1"/>
  <c r="K46" i="1" s="1"/>
  <c r="N46" i="1" s="1"/>
  <c r="K59" i="1" a="1"/>
  <c r="K59" i="1" s="1"/>
  <c r="N59" i="1" s="1"/>
  <c r="N54" i="1"/>
  <c r="N60" i="1"/>
  <c r="AM6" i="1"/>
  <c r="AN6" i="1" s="1"/>
  <c r="AO6" i="1" s="1"/>
  <c r="F175" i="1" l="1"/>
  <c r="AE32" i="3"/>
  <c r="AE34" i="3" s="1"/>
  <c r="AJ32" i="3"/>
  <c r="AJ34" i="3" s="1"/>
  <c r="AI32" i="3"/>
  <c r="AI34" i="3" s="1"/>
  <c r="AH32" i="3"/>
  <c r="AH34" i="3" s="1"/>
  <c r="AG32" i="3"/>
  <c r="AG34" i="3" s="1"/>
  <c r="CL192" i="1"/>
  <c r="CL184" i="1"/>
  <c r="CL176" i="1"/>
  <c r="J170" i="1"/>
  <c r="AP6" i="1"/>
  <c r="AK34" i="3" l="1"/>
  <c r="J175" i="1"/>
  <c r="J171" i="1"/>
  <c r="J173" i="1" s="1"/>
  <c r="AQ6" i="1"/>
  <c r="AR6" i="1" l="1"/>
  <c r="AS6" i="1" s="1"/>
  <c r="L34" i="1" a="1"/>
  <c r="L34" i="1" s="1"/>
  <c r="L33" i="1" a="1"/>
  <c r="L33" i="1" s="1"/>
  <c r="L35" i="1" a="1"/>
  <c r="L35" i="1" s="1"/>
  <c r="L36" i="1" a="1"/>
  <c r="L36" i="1" s="1"/>
  <c r="K34" i="1" a="1"/>
  <c r="K34" i="1" s="1"/>
  <c r="N34" i="1" s="1"/>
  <c r="K33" i="1" a="1"/>
  <c r="K33" i="1" s="1"/>
  <c r="N33" i="1" s="1"/>
  <c r="AT6" i="1" l="1"/>
  <c r="AU6" i="1" l="1"/>
  <c r="K39" i="1" a="1"/>
  <c r="K39" i="1" s="1"/>
  <c r="N39" i="1" s="1"/>
  <c r="K41" i="1" a="1"/>
  <c r="K41" i="1" s="1"/>
  <c r="N41" i="1" s="1"/>
  <c r="K40" i="1" a="1"/>
  <c r="K40" i="1" s="1"/>
  <c r="N40" i="1" s="1"/>
  <c r="K38" i="1" a="1"/>
  <c r="K38" i="1" s="1"/>
  <c r="N38" i="1" s="1"/>
  <c r="AV6" i="1" l="1"/>
  <c r="K47" i="1" s="1" a="1"/>
  <c r="K47" i="1" s="1"/>
  <c r="N47" i="1" s="1"/>
  <c r="L38" i="1" a="1"/>
  <c r="L38" i="1" s="1"/>
  <c r="L41" i="1" a="1"/>
  <c r="L41" i="1" s="1"/>
  <c r="L40" i="1" a="1"/>
  <c r="L40" i="1" s="1"/>
  <c r="L39" i="1" a="1"/>
  <c r="L39" i="1" s="1"/>
  <c r="N61" i="1"/>
  <c r="K71" i="1" l="1" a="1"/>
  <c r="K71" i="1" s="1"/>
  <c r="N71" i="1" s="1"/>
  <c r="K69" i="1" a="1"/>
  <c r="K69" i="1" s="1"/>
  <c r="N69" i="1" s="1"/>
  <c r="K74" i="1" a="1"/>
  <c r="K74" i="1" s="1"/>
  <c r="N74" i="1" s="1"/>
  <c r="K70" i="1" a="1"/>
  <c r="K70" i="1" s="1"/>
  <c r="N70" i="1" s="1"/>
  <c r="K73" i="1" a="1"/>
  <c r="K73" i="1" s="1"/>
  <c r="N73" i="1" s="1"/>
  <c r="K72" i="1" a="1"/>
  <c r="K72" i="1" s="1"/>
  <c r="N72" i="1" s="1"/>
  <c r="AW6" i="1"/>
  <c r="AX6" i="1" s="1"/>
  <c r="AY6" i="1" s="1"/>
  <c r="K55" i="1" a="1"/>
  <c r="K55" i="1" s="1"/>
  <c r="N55" i="1" s="1"/>
  <c r="L69" i="1" l="1" a="1"/>
  <c r="L69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AZ6" i="1"/>
  <c r="K81" i="1" l="1" a="1"/>
  <c r="K81" i="1" s="1"/>
  <c r="N81" i="1" s="1"/>
  <c r="K80" i="1" a="1"/>
  <c r="K80" i="1" s="1"/>
  <c r="N80" i="1" s="1"/>
  <c r="K76" i="1" a="1"/>
  <c r="K76" i="1" s="1"/>
  <c r="N76" i="1" s="1"/>
  <c r="K79" i="1" a="1"/>
  <c r="K79" i="1" s="1"/>
  <c r="N79" i="1" s="1"/>
  <c r="K77" i="1" a="1"/>
  <c r="K77" i="1" s="1"/>
  <c r="N77" i="1" s="1"/>
  <c r="K78" i="1" a="1"/>
  <c r="K78" i="1" s="1"/>
  <c r="N78" i="1" s="1"/>
  <c r="BA6" i="1"/>
  <c r="L47" i="1" s="1" a="1"/>
  <c r="L47" i="1" s="1"/>
  <c r="L49" i="1" l="1" a="1"/>
  <c r="L49" i="1" s="1"/>
  <c r="L79" i="1" a="1"/>
  <c r="L79" i="1" s="1"/>
  <c r="L78" i="1" a="1"/>
  <c r="L78" i="1" s="1"/>
  <c r="L77" i="1" a="1"/>
  <c r="L77" i="1" s="1"/>
  <c r="L76" i="1" a="1"/>
  <c r="L76" i="1" s="1"/>
  <c r="L55" i="1" a="1"/>
  <c r="L55" i="1" s="1"/>
  <c r="L81" i="1" a="1"/>
  <c r="L81" i="1" s="1"/>
  <c r="L80" i="1" a="1"/>
  <c r="L80" i="1" s="1"/>
  <c r="N62" i="1"/>
  <c r="BB6" i="1"/>
  <c r="K57" i="1" l="1" a="1"/>
  <c r="K57" i="1" s="1"/>
  <c r="N57" i="1" s="1"/>
  <c r="K56" i="1" a="1"/>
  <c r="K56" i="1" s="1"/>
  <c r="N56" i="1" s="1"/>
  <c r="K64" i="1" a="1"/>
  <c r="K64" i="1" s="1"/>
  <c r="N64" i="1" s="1"/>
  <c r="K90" i="1" a="1"/>
  <c r="K90" i="1" s="1"/>
  <c r="N90" i="1" s="1"/>
  <c r="K91" i="1" a="1"/>
  <c r="K91" i="1" s="1"/>
  <c r="N91" i="1" s="1"/>
  <c r="K86" i="1" a="1"/>
  <c r="K86" i="1" s="1"/>
  <c r="N86" i="1" s="1"/>
  <c r="K88" i="1" a="1"/>
  <c r="K88" i="1" s="1"/>
  <c r="N88" i="1" s="1"/>
  <c r="K89" i="1" a="1"/>
  <c r="K89" i="1" s="1"/>
  <c r="N89" i="1" s="1"/>
  <c r="K87" i="1" a="1"/>
  <c r="K87" i="1" s="1"/>
  <c r="N87" i="1" s="1"/>
  <c r="BC6" i="1"/>
  <c r="L50" i="1" l="1" a="1"/>
  <c r="L50" i="1" s="1"/>
  <c r="L58" i="1" a="1"/>
  <c r="L58" i="1" s="1"/>
  <c r="BD6" i="1"/>
  <c r="BE6" i="1" l="1"/>
  <c r="L91" i="1" l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BF6" i="1"/>
  <c r="K98" i="1" l="1" a="1"/>
  <c r="K98" i="1" s="1"/>
  <c r="N98" i="1" s="1"/>
  <c r="K97" i="1" a="1"/>
  <c r="K97" i="1" s="1"/>
  <c r="N97" i="1" s="1"/>
  <c r="K94" i="1" a="1"/>
  <c r="K94" i="1" s="1"/>
  <c r="N94" i="1" s="1"/>
  <c r="K96" i="1" a="1"/>
  <c r="K96" i="1" s="1"/>
  <c r="N96" i="1" s="1"/>
  <c r="K93" i="1" a="1"/>
  <c r="K93" i="1" s="1"/>
  <c r="N93" i="1" s="1"/>
  <c r="K95" i="1" a="1"/>
  <c r="K95" i="1" s="1"/>
  <c r="N95" i="1" s="1"/>
  <c r="BG6" i="1"/>
  <c r="L56" i="1" l="1" a="1"/>
  <c r="L56" i="1" s="1"/>
  <c r="L62" i="1" a="1"/>
  <c r="L62" i="1" s="1"/>
  <c r="L57" i="1" a="1"/>
  <c r="L57" i="1" s="1"/>
  <c r="L64" i="1" a="1"/>
  <c r="L64" i="1" s="1"/>
  <c r="L63" i="1" a="1"/>
  <c r="L63" i="1" s="1"/>
  <c r="L48" i="1" a="1"/>
  <c r="L48" i="1" s="1"/>
  <c r="L51" i="1" a="1"/>
  <c r="L51" i="1" s="1"/>
  <c r="L96" i="1" a="1"/>
  <c r="L96" i="1" s="1"/>
  <c r="L95" i="1" a="1"/>
  <c r="L95" i="1" s="1"/>
  <c r="L94" i="1" a="1"/>
  <c r="L94" i="1" s="1"/>
  <c r="L93" i="1" a="1"/>
  <c r="L93" i="1" s="1"/>
  <c r="L97" i="1" a="1"/>
  <c r="L97" i="1" s="1"/>
  <c r="L98" i="1" a="1"/>
  <c r="L98" i="1" s="1"/>
  <c r="BH6" i="1"/>
  <c r="K108" i="1" l="1" a="1"/>
  <c r="K108" i="1" s="1"/>
  <c r="N108" i="1" s="1"/>
  <c r="K107" i="1" a="1"/>
  <c r="K107" i="1" s="1"/>
  <c r="N107" i="1" s="1"/>
  <c r="K103" i="1" a="1"/>
  <c r="K103" i="1" s="1"/>
  <c r="N103" i="1" s="1"/>
  <c r="K106" i="1" a="1"/>
  <c r="K106" i="1" s="1"/>
  <c r="N106" i="1" s="1"/>
  <c r="K105" i="1" a="1"/>
  <c r="K105" i="1" s="1"/>
  <c r="N105" i="1" s="1"/>
  <c r="K104" i="1" a="1"/>
  <c r="K104" i="1" s="1"/>
  <c r="N104" i="1" s="1"/>
  <c r="BI6" i="1"/>
  <c r="BJ6" i="1" l="1"/>
  <c r="BK6" i="1" l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K115" i="1" a="1"/>
  <c r="K115" i="1" s="1"/>
  <c r="N115" i="1" s="1"/>
  <c r="K114" i="1" a="1"/>
  <c r="K114" i="1" s="1"/>
  <c r="N114" i="1" s="1"/>
  <c r="K113" i="1" a="1"/>
  <c r="K113" i="1" s="1"/>
  <c r="N113" i="1" s="1"/>
  <c r="K112" i="1" a="1"/>
  <c r="K112" i="1" s="1"/>
  <c r="N112" i="1" s="1"/>
  <c r="K110" i="1" a="1"/>
  <c r="K110" i="1" s="1"/>
  <c r="N110" i="1" s="1"/>
  <c r="K111" i="1" a="1"/>
  <c r="K111" i="1" s="1"/>
  <c r="N111" i="1" s="1"/>
  <c r="BL6" i="1"/>
  <c r="K126" i="1" l="1" a="1"/>
  <c r="K126" i="1" s="1"/>
  <c r="N126" i="1" s="1"/>
  <c r="BM6" i="1"/>
  <c r="K121" i="1" s="1" a="1"/>
  <c r="K121" i="1" s="1"/>
  <c r="N121" i="1" s="1"/>
  <c r="L110" i="1" a="1"/>
  <c r="L110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K123" i="1" a="1"/>
  <c r="K123" i="1" s="1"/>
  <c r="N123" i="1" s="1"/>
  <c r="K125" i="1" l="1" a="1"/>
  <c r="K125" i="1" s="1"/>
  <c r="N125" i="1" s="1"/>
  <c r="K124" i="1" a="1"/>
  <c r="K124" i="1" s="1"/>
  <c r="N124" i="1" s="1"/>
  <c r="BN6" i="1"/>
  <c r="BO6" i="1" s="1"/>
  <c r="K122" i="1" a="1"/>
  <c r="K122" i="1" s="1"/>
  <c r="N122" i="1" s="1"/>
  <c r="K120" i="1" a="1"/>
  <c r="K120" i="1" s="1"/>
  <c r="N120" i="1" s="1"/>
  <c r="L59" i="1" a="1"/>
  <c r="L59" i="1" s="1"/>
  <c r="L46" i="1" a="1"/>
  <c r="L46" i="1" s="1"/>
  <c r="BP6" i="1" l="1"/>
  <c r="L126" i="1" s="1" a="1"/>
  <c r="L126" i="1" s="1"/>
  <c r="L54" i="1" a="1"/>
  <c r="L54" i="1" s="1"/>
  <c r="L61" i="1" a="1"/>
  <c r="L61" i="1" s="1"/>
  <c r="L60" i="1" a="1"/>
  <c r="L60" i="1" s="1"/>
  <c r="K130" i="1" a="1"/>
  <c r="K130" i="1" s="1"/>
  <c r="N130" i="1" s="1"/>
  <c r="BQ6" i="1"/>
  <c r="BR6" i="1" l="1"/>
  <c r="L134" i="1" s="1" a="1"/>
  <c r="L134" i="1" s="1"/>
  <c r="K134" i="1" a="1"/>
  <c r="K134" i="1" s="1"/>
  <c r="N134" i="1" s="1"/>
  <c r="K129" i="1" a="1"/>
  <c r="K129" i="1" s="1"/>
  <c r="N129" i="1" s="1"/>
  <c r="K131" i="1" a="1"/>
  <c r="K131" i="1" s="1"/>
  <c r="N131" i="1" s="1"/>
  <c r="K128" i="1" a="1"/>
  <c r="K128" i="1" s="1"/>
  <c r="N128" i="1" s="1"/>
  <c r="K133" i="1" a="1"/>
  <c r="K133" i="1" s="1"/>
  <c r="N133" i="1" s="1"/>
  <c r="K132" i="1" a="1"/>
  <c r="K132" i="1" s="1"/>
  <c r="N132" i="1" s="1"/>
  <c r="BS6" i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K144" i="1" a="1"/>
  <c r="K144" i="1" s="1"/>
  <c r="N144" i="1" s="1"/>
  <c r="K141" i="1" a="1"/>
  <c r="K141" i="1" s="1"/>
  <c r="N141" i="1" s="1"/>
  <c r="K142" i="1" a="1"/>
  <c r="K142" i="1" s="1"/>
  <c r="N142" i="1" s="1"/>
  <c r="K143" i="1" a="1"/>
  <c r="K143" i="1" s="1"/>
  <c r="N143" i="1" s="1"/>
  <c r="K139" i="1" a="1"/>
  <c r="K139" i="1" s="1"/>
  <c r="N139" i="1" s="1"/>
  <c r="K140" i="1" a="1"/>
  <c r="K140" i="1" s="1"/>
  <c r="N140" i="1" s="1"/>
  <c r="BT6" i="1"/>
  <c r="BU6" i="1" l="1"/>
  <c r="L143" i="1" l="1" a="1"/>
  <c r="L143" i="1" s="1"/>
  <c r="L142" i="1" a="1"/>
  <c r="L142" i="1" s="1"/>
  <c r="L141" i="1" a="1"/>
  <c r="L141" i="1" s="1"/>
  <c r="L140" i="1" a="1"/>
  <c r="L140" i="1" s="1"/>
  <c r="L139" i="1" a="1"/>
  <c r="L139" i="1" s="1"/>
  <c r="L144" i="1" a="1"/>
  <c r="L144" i="1" s="1"/>
  <c r="BV6" i="1"/>
  <c r="K148" i="1" l="1" a="1"/>
  <c r="K148" i="1" s="1"/>
  <c r="N148" i="1" s="1"/>
  <c r="K151" i="1" a="1"/>
  <c r="K151" i="1" s="1"/>
  <c r="N151" i="1" s="1"/>
  <c r="K149" i="1" a="1"/>
  <c r="K149" i="1" s="1"/>
  <c r="N149" i="1" s="1"/>
  <c r="K147" i="1" a="1"/>
  <c r="K147" i="1" s="1"/>
  <c r="N147" i="1" s="1"/>
  <c r="K150" i="1" a="1"/>
  <c r="K150" i="1" s="1"/>
  <c r="N150" i="1" s="1"/>
  <c r="K146" i="1" a="1"/>
  <c r="K146" i="1" s="1"/>
  <c r="N146" i="1" s="1"/>
  <c r="BW6" i="1"/>
  <c r="BX6" i="1" l="1"/>
  <c r="K160" i="1" s="1" a="1"/>
  <c r="K160" i="1" s="1"/>
  <c r="N160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K156" i="1" a="1"/>
  <c r="K156" i="1" s="1"/>
  <c r="N156" i="1" s="1"/>
  <c r="K159" i="1" a="1"/>
  <c r="K159" i="1" s="1"/>
  <c r="N159" i="1" s="1"/>
  <c r="K157" i="1" a="1"/>
  <c r="K157" i="1" s="1"/>
  <c r="N157" i="1" s="1"/>
  <c r="BY6" i="1" l="1"/>
  <c r="BZ6" i="1" s="1"/>
  <c r="L160" i="1" s="1" a="1"/>
  <c r="L160" i="1" s="1"/>
  <c r="K158" i="1" a="1"/>
  <c r="K158" i="1" s="1"/>
  <c r="N158" i="1" s="1"/>
  <c r="K161" i="1" a="1"/>
  <c r="K161" i="1" s="1"/>
  <c r="N161" i="1" s="1"/>
  <c r="L156" i="1" a="1"/>
  <c r="L156" i="1" s="1"/>
  <c r="L159" i="1" l="1" a="1"/>
  <c r="L159" i="1" s="1"/>
  <c r="CA6" i="1"/>
  <c r="L11" i="1" s="1" a="1"/>
  <c r="L11" i="1" s="1"/>
  <c r="L161" i="1" a="1"/>
  <c r="L161" i="1" s="1"/>
  <c r="L158" i="1" a="1"/>
  <c r="L158" i="1" s="1"/>
  <c r="L157" i="1" a="1"/>
  <c r="L157" i="1" s="1"/>
  <c r="K168" i="1" a="1"/>
  <c r="K168" i="1" s="1"/>
  <c r="N168" i="1" s="1"/>
  <c r="K165" i="1" a="1"/>
  <c r="K165" i="1" s="1"/>
  <c r="N165" i="1" s="1"/>
  <c r="K164" i="1" a="1"/>
  <c r="K164" i="1" s="1"/>
  <c r="N164" i="1" s="1"/>
  <c r="K166" i="1" a="1"/>
  <c r="K166" i="1" s="1"/>
  <c r="N166" i="1" s="1"/>
  <c r="K167" i="1" a="1"/>
  <c r="K167" i="1" s="1"/>
  <c r="N167" i="1" s="1"/>
  <c r="K163" i="1" a="1"/>
  <c r="K163" i="1" s="1"/>
  <c r="N163" i="1" s="1"/>
  <c r="CB6" i="1"/>
  <c r="L168" i="1" l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CC6" i="1"/>
  <c r="L12" i="1" l="1" a="1"/>
  <c r="L12" i="1" s="1"/>
  <c r="L10" i="1" a="1"/>
  <c r="L10" i="1" s="1"/>
  <c r="L13" i="1" a="1"/>
  <c r="L13" i="1" s="1"/>
  <c r="CD6" i="1"/>
  <c r="CE6" i="1" l="1"/>
  <c r="CF6" i="1" s="1"/>
  <c r="CG6" i="1" s="1"/>
  <c r="CH6" i="1" s="1"/>
  <c r="CI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<sst xmlns="http://schemas.openxmlformats.org/spreadsheetml/2006/main" count="708" uniqueCount="199">
  <si>
    <t>Line Item</t>
  </si>
  <si>
    <t>Resource Name</t>
  </si>
  <si>
    <t>Hourly Labor Rate</t>
  </si>
  <si>
    <t>Labor Hours</t>
  </si>
  <si>
    <t>Extended Labor Cost</t>
  </si>
  <si>
    <t>Weekly Travel Cost</t>
  </si>
  <si>
    <t>Total Travel Weeks</t>
  </si>
  <si>
    <t>Extended Travel Cost</t>
  </si>
  <si>
    <t>Total Extended Resource Cost</t>
  </si>
  <si>
    <t>Start Week</t>
  </si>
  <si>
    <t>End Week</t>
  </si>
  <si>
    <t>Duration (Weeks)</t>
  </si>
  <si>
    <t>Cx Manager</t>
  </si>
  <si>
    <t>Ben Solem</t>
  </si>
  <si>
    <t>Cx Scheduler/Coordinator</t>
  </si>
  <si>
    <t>Lashica Woodard</t>
  </si>
  <si>
    <t>TBD</t>
  </si>
  <si>
    <t>Lead ECx-A</t>
  </si>
  <si>
    <t>ECx Tech-A</t>
  </si>
  <si>
    <t>Lead ECx-B</t>
  </si>
  <si>
    <t>ECx Tech-B</t>
  </si>
  <si>
    <t>Lead MCx-B</t>
  </si>
  <si>
    <t>MCx Tech-B</t>
  </si>
  <si>
    <t>Switchyard - L4 Functional Testing</t>
  </si>
  <si>
    <t>Switchyard - L5 IST</t>
  </si>
  <si>
    <t>PHASE 1 - DATA HALL</t>
  </si>
  <si>
    <t>Phase 1 - L4 Functional Testing (4 weeks)</t>
  </si>
  <si>
    <t>Phase 1 - L5 IST (2 weeks)</t>
  </si>
  <si>
    <t>PHASE 2 - DATA HALL</t>
  </si>
  <si>
    <t>Phase 2 - L4 Functional Testing (4 weeks)</t>
  </si>
  <si>
    <t>Phase 2 - L5 IST (2 weeks)</t>
  </si>
  <si>
    <t>PHASE 3 - DATA HALL</t>
  </si>
  <si>
    <t>Phase 3 - L5 IST (2 weeks)</t>
  </si>
  <si>
    <t>PHASE 4 - DATA HALL</t>
  </si>
  <si>
    <t>PHASE 5 - DATA HALL</t>
  </si>
  <si>
    <t>PHASE 6 - DATA HALL</t>
  </si>
  <si>
    <t>SWITCHYARD &amp; DATA HALL L2-L3 COMMISSIONING (CONCURRENT)</t>
  </si>
  <si>
    <t>Switchyard - L2 Pre-Startup Inspections</t>
  </si>
  <si>
    <t>Data Halls Ph 1-6 - L2 Pre-Startup Inspections (Concurrent)</t>
  </si>
  <si>
    <t>Switchyard - L3 Startup &amp; Energization</t>
  </si>
  <si>
    <t>Data Halls Ph 1-6 - L3 Startup &amp; Energization (Concurrent)</t>
  </si>
  <si>
    <t>SWITCHYARD - L4-L5 TESTING</t>
  </si>
  <si>
    <t>Lead MCx-A</t>
  </si>
  <si>
    <t>MCx Tech-A</t>
  </si>
  <si>
    <t>Doc Control-A</t>
  </si>
  <si>
    <t>Doc Control-B</t>
  </si>
  <si>
    <t>PLANNING, COORDINATION, &amp; DOCUMENTATION</t>
  </si>
  <si>
    <t>Role</t>
  </si>
  <si>
    <t>Hourly Rate</t>
  </si>
  <si>
    <t>Phase 6 - L5 IST (2 weeks)</t>
  </si>
  <si>
    <t>Phase 5 - L5 IST (2 Weeks)</t>
  </si>
  <si>
    <t>Phase 4 - L5 IST (3 weeks - Christmas)</t>
  </si>
  <si>
    <t>Switchyard Subtotal</t>
  </si>
  <si>
    <t>Lead ECx-C</t>
  </si>
  <si>
    <t>Lead MCx-C</t>
  </si>
  <si>
    <t>ECx Tech-C</t>
  </si>
  <si>
    <t>MCx Tech-C</t>
  </si>
  <si>
    <t>Lead ECx-D</t>
  </si>
  <si>
    <t>Lead MCx-D</t>
  </si>
  <si>
    <t>ECx Tech-D</t>
  </si>
  <si>
    <t>MCx Tech-D</t>
  </si>
  <si>
    <t>Management, Coordination, &amp; Support</t>
  </si>
  <si>
    <t>Planning Subtotal:</t>
  </si>
  <si>
    <t>Data Hall L2-L3</t>
  </si>
  <si>
    <t/>
  </si>
  <si>
    <t>Phase 2 - Data Halls L4-L5</t>
  </si>
  <si>
    <t>Phase 1 - Data Halls &amp; Network L4-L5</t>
  </si>
  <si>
    <t>Phase 3 - Data Halls L4-L5</t>
  </si>
  <si>
    <t>Phase 4 - Data Halls L4-L5</t>
  </si>
  <si>
    <t>Phase 5 - Data Halls L4-L5</t>
  </si>
  <si>
    <t>Phase 6 - L4 Functional Testing (3 weeks)</t>
  </si>
  <si>
    <t>Phase 5 - L4 Functional Testing (3 weeks)</t>
  </si>
  <si>
    <t>Phase 3 - L4 Functional Testing (3 weeks)</t>
  </si>
  <si>
    <t>Grand Total</t>
  </si>
  <si>
    <t>Location</t>
  </si>
  <si>
    <t>Equipment Type</t>
  </si>
  <si>
    <t>Quantity</t>
  </si>
  <si>
    <t>Per Phase</t>
  </si>
  <si>
    <t>OEM</t>
  </si>
  <si>
    <t>Description</t>
  </si>
  <si>
    <t>Voltage/Rating</t>
  </si>
  <si>
    <t>Notes</t>
  </si>
  <si>
    <t>Commissioning 
Level</t>
  </si>
  <si>
    <t>Per Block
Quantity</t>
  </si>
  <si>
    <t>Total
Blocks</t>
  </si>
  <si>
    <t>Gray Space - Outdoor</t>
  </si>
  <si>
    <t>Transformer - Data Hall IT</t>
  </si>
  <si>
    <t>34.5kV - 480V 2.5MVA</t>
  </si>
  <si>
    <t>All 6 data halls</t>
  </si>
  <si>
    <t>Level 4</t>
  </si>
  <si>
    <t>Transformer - Data Hall Mech</t>
  </si>
  <si>
    <t>34.5kV - 480V 5MVA</t>
  </si>
  <si>
    <t>Transformer - Network IT</t>
  </si>
  <si>
    <t>34.5kV - 480V 2MVA</t>
  </si>
  <si>
    <t>Network Room</t>
  </si>
  <si>
    <t>Transformer - Network Mech</t>
  </si>
  <si>
    <t>34.5kV - 480V 3MVA</t>
  </si>
  <si>
    <t>Ring Main Unit</t>
  </si>
  <si>
    <t>34.5kV</t>
  </si>
  <si>
    <t>Per switchyard/distribution</t>
  </si>
  <si>
    <t>MV Switchboard</t>
  </si>
  <si>
    <t>Switchyard</t>
  </si>
  <si>
    <t>Chiller</t>
  </si>
  <si>
    <t>Vertiv</t>
  </si>
  <si>
    <t>Vertiv OFC</t>
  </si>
  <si>
    <t>Buffer Tank</t>
  </si>
  <si>
    <t>Gray Space - Indoor</t>
  </si>
  <si>
    <t>LV Switchboard - Data Hall Elec</t>
  </si>
  <si>
    <t>4000A</t>
  </si>
  <si>
    <t>480V</t>
  </si>
  <si>
    <t>LV Switchboard - Data Hall Mech</t>
  </si>
  <si>
    <t>5000A</t>
  </si>
  <si>
    <t>LV Switchboard - Network Elec</t>
  </si>
  <si>
    <t>LV Switchboard - Network Mech</t>
  </si>
  <si>
    <t>UPS</t>
  </si>
  <si>
    <t>480V APM2 600kVA</t>
  </si>
  <si>
    <t>All 6 data halls + Network</t>
  </si>
  <si>
    <t>CRAH Fan Wall - Electrical Room</t>
  </si>
  <si>
    <t>CA606</t>
  </si>
  <si>
    <t>Electrical rooms</t>
  </si>
  <si>
    <t>Battery Cabinets</t>
  </si>
  <si>
    <t>LI5 - LI7</t>
  </si>
  <si>
    <t>White Space - Option 1</t>
  </si>
  <si>
    <t>HAC - SmartRun</t>
  </si>
  <si>
    <t>Hot Aisle Containment</t>
  </si>
  <si>
    <t>Option 1 (not base)</t>
  </si>
  <si>
    <t>Rack Power Panel</t>
  </si>
  <si>
    <t>1000/1200A</t>
  </si>
  <si>
    <t>Remote Distribution Panel</t>
  </si>
  <si>
    <t>400A RXV Panels</t>
  </si>
  <si>
    <t>CDU</t>
  </si>
  <si>
    <t>XDU 2300</t>
  </si>
  <si>
    <t>CRAH Fan Wall - Data Hall</t>
  </si>
  <si>
    <t>White Space - Option 2</t>
  </si>
  <si>
    <t>Option 2 (BASE)</t>
  </si>
  <si>
    <t>White Space - Option 3</t>
  </si>
  <si>
    <t>Option 3 (not base)</t>
  </si>
  <si>
    <t>Switchyard L2-L3 Subtotal</t>
  </si>
  <si>
    <t>Switchyard L4-L5 Subtotal</t>
  </si>
  <si>
    <t>Total Resources Allocated by Week:</t>
  </si>
  <si>
    <t>Total Labor Hours Allocated by Week:</t>
  </si>
  <si>
    <t>Grey Team</t>
  </si>
  <si>
    <t>Blue Team</t>
  </si>
  <si>
    <t>Yellow Team</t>
  </si>
  <si>
    <t>x</t>
  </si>
  <si>
    <t>Start Date
Week Beginning</t>
  </si>
  <si>
    <t>Phase 4 - L4 Functional Testing (4 weeks - Thanksgiving)</t>
  </si>
  <si>
    <t>Elect Floater</t>
  </si>
  <si>
    <t>Mech Floater</t>
  </si>
  <si>
    <t>Sherif Khamis</t>
  </si>
  <si>
    <t>D2C Mech Engineering SME</t>
  </si>
  <si>
    <t>Substation Elecrical Engineering SME</t>
  </si>
  <si>
    <t>Daniel Dus</t>
  </si>
  <si>
    <t>L2</t>
  </si>
  <si>
    <t>L3</t>
  </si>
  <si>
    <t>L4</t>
  </si>
  <si>
    <t>L5</t>
  </si>
  <si>
    <t>L6</t>
  </si>
  <si>
    <t>Total Hours</t>
  </si>
  <si>
    <t>Phase 1 Labor Hours</t>
  </si>
  <si>
    <t>Phase 2 Labor Hours</t>
  </si>
  <si>
    <t>Phase 3 Labor Hours</t>
  </si>
  <si>
    <t>Phase 4 Labor Hours</t>
  </si>
  <si>
    <t>Phase 5 Labor Hours</t>
  </si>
  <si>
    <t>Phase 6 Labor Hours</t>
  </si>
  <si>
    <t>Total All Phases</t>
  </si>
  <si>
    <t>L2 Total Hours</t>
  </si>
  <si>
    <t>L3 Total Hours</t>
  </si>
  <si>
    <t>L4 Total Hours</t>
  </si>
  <si>
    <t>L5 Total Hours</t>
  </si>
  <si>
    <t>PM &amp; Coordination</t>
  </si>
  <si>
    <t>Total Hours/Phase</t>
  </si>
  <si>
    <t>Total Hours/6-Man Team</t>
  </si>
  <si>
    <t>Total Days</t>
  </si>
  <si>
    <t>Total Weeks</t>
  </si>
  <si>
    <t>Phase 1 EQ QTY</t>
  </si>
  <si>
    <t>Phase 2 EQ QTY</t>
  </si>
  <si>
    <t>Phase 3 EQ QTY</t>
  </si>
  <si>
    <t>Phase 4 EQ QTY</t>
  </si>
  <si>
    <t>Phase 5 EQ QTY</t>
  </si>
  <si>
    <t>Phase 6 EQ QTY</t>
  </si>
  <si>
    <t>Name</t>
  </si>
  <si>
    <t>Ben Solum</t>
  </si>
  <si>
    <t>Tyler Dunlap</t>
  </si>
  <si>
    <t>Kaenon Stockglausner</t>
  </si>
  <si>
    <t>Connor Paxton</t>
  </si>
  <si>
    <t>Chester McFadden</t>
  </si>
  <si>
    <t>Muhammed Kurt</t>
  </si>
  <si>
    <t>Josip Bilen</t>
  </si>
  <si>
    <t>Mark Mader</t>
  </si>
  <si>
    <t>Mohamed Ben-Salah</t>
  </si>
  <si>
    <t>Kevin Duong</t>
  </si>
  <si>
    <t>Carter Corey</t>
  </si>
  <si>
    <t>Zach Tucker</t>
  </si>
  <si>
    <t>Tyler Roady</t>
  </si>
  <si>
    <t>Erik Stockglausner</t>
  </si>
  <si>
    <t>Christine Stockglausner</t>
  </si>
  <si>
    <t>Dakota Padoven</t>
  </si>
  <si>
    <t>Kedric Benford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</si>
</sst>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dd\,\ mmm\ d\,\ yyyy"/>
    <numFmt numFmtId="165" formatCode="_(&quot;$&quot;* #,##0_);_(&quot;$&quot;* \(#,##0\);_(&quot;$&quot;* &quot;-&quot;??_);_(@_)"/>
    <numFmt numFmtId="166" formatCode="0.0"/>
  </numFmts>
  <fonts count="32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Arial"/>
      <family val="2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b/>
      <sz val="11"/>
      <color rgb="FFFF0000"/>
      <name val="Aptos"/>
      <family val="2"/>
    </font>
    <font>
      <sz val="11"/>
      <name val="Aptos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9"/>
      <name val="Aptos"/>
      <family val="2"/>
    </font>
    <font>
      <b/>
      <sz val="11"/>
      <color theme="4"/>
      <name val="Aptos"/>
      <family val="2"/>
    </font>
    <font>
      <sz val="8"/>
      <name val="Aptos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C6E7"/>
        <bgColor rgb="FFB4C6E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B4C6E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B4C6E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rgb="FF00B050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/>
      <right/>
      <top style="dotted">
        <color rgb="FFF2F2F2"/>
      </top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indexed="64"/>
      </top>
      <bottom/>
      <diagonal/>
    </border>
    <border>
      <left style="thin">
        <color rgb="FFE7E6E6"/>
      </left>
      <right style="thin">
        <color rgb="FFE7E6E6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4" fontId="18" fillId="33" borderId="10" xfId="0" applyNumberFormat="1" applyFont="1" applyFill="1" applyBorder="1" applyAlignment="1">
      <alignment horizontal="center" vertical="center" textRotation="45" wrapText="1"/>
    </xf>
    <xf numFmtId="0" fontId="20" fillId="0" borderId="11" xfId="0" applyFont="1" applyBorder="1" applyAlignment="1">
      <alignment horizontal="center" vertical="top" wrapText="1"/>
    </xf>
    <xf numFmtId="164" fontId="18" fillId="0" borderId="10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3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left" vertical="top"/>
    </xf>
    <xf numFmtId="164" fontId="18" fillId="0" borderId="0" xfId="0" applyNumberFormat="1" applyFont="1" applyAlignment="1">
      <alignment horizontal="right" vertical="center" wrapText="1"/>
    </xf>
    <xf numFmtId="0" fontId="16" fillId="0" borderId="0" xfId="0" applyFont="1"/>
    <xf numFmtId="44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4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165" fontId="23" fillId="0" borderId="0" xfId="0" applyNumberFormat="1" applyFont="1" applyAlignment="1">
      <alignment vertical="top"/>
    </xf>
    <xf numFmtId="164" fontId="24" fillId="0" borderId="0" xfId="0" applyNumberFormat="1" applyFont="1" applyAlignment="1">
      <alignment horizontal="right" vertical="center" wrapText="1"/>
    </xf>
    <xf numFmtId="0" fontId="23" fillId="0" borderId="13" xfId="0" applyFont="1" applyBorder="1" applyAlignment="1">
      <alignment horizontal="left" vertical="top" indent="3"/>
    </xf>
    <xf numFmtId="0" fontId="23" fillId="0" borderId="13" xfId="0" applyFont="1" applyBorder="1" applyAlignment="1">
      <alignment vertical="top"/>
    </xf>
    <xf numFmtId="44" fontId="23" fillId="0" borderId="13" xfId="1" applyFont="1" applyBorder="1" applyAlignment="1">
      <alignment vertical="top"/>
    </xf>
    <xf numFmtId="0" fontId="23" fillId="0" borderId="13" xfId="0" applyFont="1" applyBorder="1" applyAlignment="1">
      <alignment horizontal="center" vertical="top"/>
    </xf>
    <xf numFmtId="165" fontId="23" fillId="0" borderId="13" xfId="0" applyNumberFormat="1" applyFont="1" applyBorder="1" applyAlignment="1">
      <alignment vertical="top"/>
    </xf>
    <xf numFmtId="165" fontId="23" fillId="0" borderId="13" xfId="1" applyNumberFormat="1" applyFont="1" applyBorder="1" applyAlignment="1">
      <alignment vertical="top"/>
    </xf>
    <xf numFmtId="164" fontId="24" fillId="0" borderId="13" xfId="0" applyNumberFormat="1" applyFont="1" applyBorder="1" applyAlignment="1">
      <alignment horizontal="right" vertical="center" wrapText="1"/>
    </xf>
    <xf numFmtId="165" fontId="0" fillId="0" borderId="0" xfId="0" quotePrefix="1" applyNumberFormat="1" applyAlignment="1">
      <alignment vertical="top"/>
    </xf>
    <xf numFmtId="0" fontId="23" fillId="0" borderId="0" xfId="0" applyFont="1" applyAlignment="1">
      <alignment horizontal="left" vertical="top" indent="3"/>
    </xf>
    <xf numFmtId="44" fontId="23" fillId="0" borderId="0" xfId="1" applyFont="1" applyBorder="1" applyAlignment="1">
      <alignment vertical="top"/>
    </xf>
    <xf numFmtId="0" fontId="23" fillId="0" borderId="0" xfId="0" applyFont="1" applyAlignment="1">
      <alignment horizontal="center" vertical="top"/>
    </xf>
    <xf numFmtId="165" fontId="23" fillId="0" borderId="0" xfId="1" applyNumberFormat="1" applyFont="1" applyBorder="1" applyAlignment="1">
      <alignment vertical="top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0" fillId="35" borderId="0" xfId="0" applyFill="1" applyAlignment="1">
      <alignment vertical="top"/>
    </xf>
    <xf numFmtId="0" fontId="0" fillId="35" borderId="0" xfId="0" applyFill="1" applyAlignment="1">
      <alignment horizontal="center" vertical="top"/>
    </xf>
    <xf numFmtId="0" fontId="0" fillId="36" borderId="0" xfId="0" applyFill="1" applyAlignment="1">
      <alignment vertical="top"/>
    </xf>
    <xf numFmtId="0" fontId="0" fillId="36" borderId="0" xfId="0" applyFill="1" applyAlignment="1">
      <alignment horizontal="center" vertical="top"/>
    </xf>
    <xf numFmtId="0" fontId="16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37" borderId="0" xfId="0" applyFill="1" applyAlignment="1">
      <alignment horizontal="right" vertical="top"/>
    </xf>
    <xf numFmtId="0" fontId="0" fillId="38" borderId="0" xfId="0" applyFill="1" applyAlignment="1">
      <alignment horizontal="right" vertical="top"/>
    </xf>
    <xf numFmtId="0" fontId="0" fillId="38" borderId="0" xfId="0" applyFill="1" applyAlignment="1">
      <alignment vertical="top"/>
    </xf>
    <xf numFmtId="0" fontId="0" fillId="39" borderId="0" xfId="0" applyFill="1" applyAlignment="1">
      <alignment horizontal="right" vertical="top"/>
    </xf>
    <xf numFmtId="0" fontId="0" fillId="39" borderId="0" xfId="0" applyFill="1" applyAlignment="1">
      <alignment vertical="top"/>
    </xf>
    <xf numFmtId="0" fontId="0" fillId="39" borderId="0" xfId="0" applyFill="1"/>
    <xf numFmtId="44" fontId="0" fillId="39" borderId="0" xfId="1" applyFont="1" applyFill="1"/>
    <xf numFmtId="44" fontId="0" fillId="38" borderId="0" xfId="1" applyFont="1" applyFill="1"/>
    <xf numFmtId="0" fontId="0" fillId="37" borderId="0" xfId="0" applyFill="1" applyAlignment="1">
      <alignment horizontal="center" vertical="top"/>
    </xf>
    <xf numFmtId="0" fontId="0" fillId="38" borderId="0" xfId="0" applyFill="1" applyAlignment="1">
      <alignment horizontal="left" vertical="top" indent="3"/>
    </xf>
    <xf numFmtId="44" fontId="0" fillId="38" borderId="0" xfId="1" applyFont="1" applyFill="1" applyAlignment="1">
      <alignment vertical="top"/>
    </xf>
    <xf numFmtId="0" fontId="0" fillId="38" borderId="0" xfId="0" applyFill="1" applyAlignment="1">
      <alignment horizontal="center" vertical="top"/>
    </xf>
    <xf numFmtId="165" fontId="0" fillId="38" borderId="0" xfId="0" applyNumberFormat="1" applyFill="1" applyAlignment="1">
      <alignment vertical="top"/>
    </xf>
    <xf numFmtId="165" fontId="0" fillId="38" borderId="0" xfId="1" applyNumberFormat="1" applyFont="1" applyFill="1" applyAlignment="1">
      <alignment vertical="top"/>
    </xf>
    <xf numFmtId="164" fontId="18" fillId="38" borderId="10" xfId="0" applyNumberFormat="1" applyFont="1" applyFill="1" applyBorder="1" applyAlignment="1">
      <alignment horizontal="right" vertical="center" wrapText="1"/>
    </xf>
    <xf numFmtId="0" fontId="0" fillId="40" borderId="0" xfId="0" applyFill="1" applyAlignment="1">
      <alignment horizontal="left" vertical="top" indent="3"/>
    </xf>
    <xf numFmtId="0" fontId="0" fillId="40" borderId="0" xfId="0" applyFill="1" applyAlignment="1">
      <alignment vertical="top"/>
    </xf>
    <xf numFmtId="44" fontId="0" fillId="40" borderId="0" xfId="1" applyFont="1" applyFill="1" applyAlignment="1">
      <alignment vertical="top"/>
    </xf>
    <xf numFmtId="0" fontId="0" fillId="40" borderId="0" xfId="0" applyFill="1" applyAlignment="1">
      <alignment horizontal="center" vertical="top"/>
    </xf>
    <xf numFmtId="165" fontId="0" fillId="40" borderId="0" xfId="0" applyNumberFormat="1" applyFill="1" applyAlignment="1">
      <alignment vertical="top"/>
    </xf>
    <xf numFmtId="165" fontId="0" fillId="40" borderId="0" xfId="1" applyNumberFormat="1" applyFont="1" applyFill="1" applyAlignment="1">
      <alignment vertical="top"/>
    </xf>
    <xf numFmtId="164" fontId="18" fillId="40" borderId="10" xfId="0" applyNumberFormat="1" applyFont="1" applyFill="1" applyBorder="1" applyAlignment="1">
      <alignment horizontal="right" vertical="center" wrapText="1"/>
    </xf>
    <xf numFmtId="0" fontId="0" fillId="39" borderId="0" xfId="0" applyFill="1" applyAlignment="1">
      <alignment horizontal="left" vertical="top" indent="3"/>
    </xf>
    <xf numFmtId="44" fontId="0" fillId="39" borderId="0" xfId="1" applyFont="1" applyFill="1" applyAlignment="1">
      <alignment vertical="top"/>
    </xf>
    <xf numFmtId="0" fontId="0" fillId="39" borderId="0" xfId="0" applyFill="1" applyAlignment="1">
      <alignment horizontal="center" vertical="top"/>
    </xf>
    <xf numFmtId="165" fontId="0" fillId="39" borderId="0" xfId="0" applyNumberFormat="1" applyFill="1" applyAlignment="1">
      <alignment vertical="top"/>
    </xf>
    <xf numFmtId="165" fontId="0" fillId="39" borderId="0" xfId="1" applyNumberFormat="1" applyFont="1" applyFill="1" applyAlignment="1">
      <alignment vertical="top"/>
    </xf>
    <xf numFmtId="164" fontId="18" fillId="39" borderId="10" xfId="0" applyNumberFormat="1" applyFont="1" applyFill="1" applyBorder="1" applyAlignment="1">
      <alignment horizontal="right" vertical="center" wrapText="1"/>
    </xf>
    <xf numFmtId="0" fontId="26" fillId="38" borderId="0" xfId="0" applyFont="1" applyFill="1" applyAlignment="1">
      <alignment horizontal="left" vertical="top" indent="3"/>
    </xf>
    <xf numFmtId="0" fontId="26" fillId="38" borderId="0" xfId="0" applyFont="1" applyFill="1" applyAlignment="1">
      <alignment vertical="top"/>
    </xf>
    <xf numFmtId="44" fontId="26" fillId="38" borderId="0" xfId="1" applyFont="1" applyFill="1" applyAlignment="1">
      <alignment vertical="top"/>
    </xf>
    <xf numFmtId="0" fontId="26" fillId="38" borderId="0" xfId="0" applyFont="1" applyFill="1" applyAlignment="1">
      <alignment horizontal="center" vertical="top"/>
    </xf>
    <xf numFmtId="165" fontId="26" fillId="38" borderId="0" xfId="0" applyNumberFormat="1" applyFont="1" applyFill="1" applyAlignment="1">
      <alignment vertical="top"/>
    </xf>
    <xf numFmtId="165" fontId="26" fillId="38" borderId="0" xfId="1" applyNumberFormat="1" applyFont="1" applyFill="1" applyAlignment="1">
      <alignment vertical="top"/>
    </xf>
    <xf numFmtId="164" fontId="28" fillId="38" borderId="10" xfId="0" applyNumberFormat="1" applyFont="1" applyFill="1" applyBorder="1" applyAlignment="1">
      <alignment horizontal="right" vertical="center" wrapText="1"/>
    </xf>
    <xf numFmtId="44" fontId="0" fillId="0" borderId="0" xfId="1" applyFont="1" applyFill="1" applyAlignment="1">
      <alignment vertical="top"/>
    </xf>
    <xf numFmtId="165" fontId="0" fillId="0" borderId="0" xfId="1" applyNumberFormat="1" applyFont="1" applyFill="1" applyAlignment="1">
      <alignment vertical="top"/>
    </xf>
    <xf numFmtId="0" fontId="26" fillId="0" borderId="0" xfId="0" applyFont="1" applyAlignment="1">
      <alignment vertical="top"/>
    </xf>
    <xf numFmtId="44" fontId="26" fillId="0" borderId="0" xfId="1" applyFont="1" applyFill="1" applyAlignment="1">
      <alignment vertical="top"/>
    </xf>
    <xf numFmtId="0" fontId="26" fillId="0" borderId="0" xfId="0" applyFont="1" applyAlignment="1">
      <alignment horizontal="center" vertical="top"/>
    </xf>
    <xf numFmtId="165" fontId="26" fillId="0" borderId="0" xfId="0" applyNumberFormat="1" applyFont="1" applyAlignment="1">
      <alignment vertical="top"/>
    </xf>
    <xf numFmtId="165" fontId="26" fillId="0" borderId="0" xfId="1" applyNumberFormat="1" applyFont="1" applyFill="1" applyAlignment="1">
      <alignment vertical="top"/>
    </xf>
    <xf numFmtId="14" fontId="26" fillId="0" borderId="0" xfId="0" applyNumberFormat="1" applyFont="1" applyAlignment="1">
      <alignment vertical="top"/>
    </xf>
    <xf numFmtId="0" fontId="30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5" fillId="0" borderId="0" xfId="0" applyFont="1" applyAlignment="1">
      <alignment vertical="top"/>
    </xf>
    <xf numFmtId="9" fontId="0" fillId="0" borderId="0" xfId="2" applyFont="1" applyAlignment="1">
      <alignment vertical="top"/>
    </xf>
    <xf numFmtId="14" fontId="19" fillId="41" borderId="10" xfId="0" applyNumberFormat="1" applyFont="1" applyFill="1" applyBorder="1" applyAlignment="1">
      <alignment horizontal="center" vertical="center" textRotation="45" wrapText="1"/>
    </xf>
    <xf numFmtId="0" fontId="20" fillId="42" borderId="11" xfId="0" applyFont="1" applyFill="1" applyBorder="1" applyAlignment="1">
      <alignment horizontal="center" vertical="top" wrapText="1"/>
    </xf>
    <xf numFmtId="0" fontId="0" fillId="42" borderId="0" xfId="0" applyFill="1" applyAlignment="1">
      <alignment vertical="top"/>
    </xf>
    <xf numFmtId="0" fontId="0" fillId="42" borderId="0" xfId="0" applyFill="1" applyAlignment="1">
      <alignment horizontal="center" vertical="top"/>
    </xf>
    <xf numFmtId="0" fontId="23" fillId="42" borderId="13" xfId="0" applyFont="1" applyFill="1" applyBorder="1" applyAlignment="1">
      <alignment horizontal="center" vertical="top"/>
    </xf>
    <xf numFmtId="0" fontId="26" fillId="42" borderId="0" xfId="0" applyFont="1" applyFill="1" applyAlignment="1">
      <alignment horizontal="center" vertical="top"/>
    </xf>
    <xf numFmtId="14" fontId="19" fillId="43" borderId="10" xfId="0" applyNumberFormat="1" applyFont="1" applyFill="1" applyBorder="1" applyAlignment="1">
      <alignment horizontal="center" vertical="center" textRotation="45" wrapText="1"/>
    </xf>
    <xf numFmtId="0" fontId="20" fillId="44" borderId="11" xfId="0" applyFont="1" applyFill="1" applyBorder="1" applyAlignment="1">
      <alignment horizontal="center" vertical="top" wrapText="1"/>
    </xf>
    <xf numFmtId="0" fontId="0" fillId="44" borderId="0" xfId="0" applyFill="1" applyAlignment="1">
      <alignment vertical="top"/>
    </xf>
    <xf numFmtId="0" fontId="0" fillId="44" borderId="0" xfId="0" applyFill="1" applyAlignment="1">
      <alignment horizontal="center" vertical="top"/>
    </xf>
    <xf numFmtId="0" fontId="23" fillId="44" borderId="13" xfId="0" applyFont="1" applyFill="1" applyBorder="1" applyAlignment="1">
      <alignment horizontal="center" vertical="top"/>
    </xf>
    <xf numFmtId="0" fontId="26" fillId="44" borderId="0" xfId="0" applyFont="1" applyFill="1" applyAlignment="1">
      <alignment horizontal="center" vertical="top"/>
    </xf>
    <xf numFmtId="14" fontId="19" fillId="45" borderId="10" xfId="0" applyNumberFormat="1" applyFont="1" applyFill="1" applyBorder="1" applyAlignment="1">
      <alignment horizontal="center" vertical="center" textRotation="45" wrapText="1"/>
    </xf>
    <xf numFmtId="0" fontId="20" fillId="46" borderId="11" xfId="0" applyFont="1" applyFill="1" applyBorder="1" applyAlignment="1">
      <alignment horizontal="center" vertical="top" wrapText="1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center" vertical="top"/>
    </xf>
    <xf numFmtId="0" fontId="23" fillId="46" borderId="13" xfId="0" applyFont="1" applyFill="1" applyBorder="1" applyAlignment="1">
      <alignment horizontal="center" vertical="top"/>
    </xf>
    <xf numFmtId="0" fontId="26" fillId="46" borderId="0" xfId="0" applyFont="1" applyFill="1" applyAlignment="1">
      <alignment horizontal="center" vertical="top"/>
    </xf>
    <xf numFmtId="0" fontId="0" fillId="36" borderId="0" xfId="0" applyFill="1"/>
    <xf numFmtId="44" fontId="0" fillId="36" borderId="0" xfId="1" applyFont="1" applyFill="1"/>
    <xf numFmtId="0" fontId="0" fillId="36" borderId="0" xfId="0" applyFill="1" applyAlignment="1">
      <alignment horizontal="left" vertical="top" indent="3"/>
    </xf>
    <xf numFmtId="44" fontId="0" fillId="36" borderId="0" xfId="1" applyFont="1" applyFill="1" applyAlignment="1">
      <alignment vertical="top"/>
    </xf>
    <xf numFmtId="165" fontId="0" fillId="36" borderId="0" xfId="0" applyNumberFormat="1" applyFill="1" applyAlignment="1">
      <alignment vertical="top"/>
    </xf>
    <xf numFmtId="165" fontId="0" fillId="36" borderId="0" xfId="1" applyNumberFormat="1" applyFont="1" applyFill="1" applyAlignment="1">
      <alignment vertical="top"/>
    </xf>
    <xf numFmtId="164" fontId="18" fillId="36" borderId="0" xfId="0" applyNumberFormat="1" applyFont="1" applyFill="1" applyAlignment="1">
      <alignment horizontal="right" vertical="center" wrapText="1"/>
    </xf>
    <xf numFmtId="14" fontId="19" fillId="47" borderId="10" xfId="0" applyNumberFormat="1" applyFont="1" applyFill="1" applyBorder="1" applyAlignment="1">
      <alignment horizontal="center" vertical="center" textRotation="45" wrapText="1"/>
    </xf>
    <xf numFmtId="0" fontId="21" fillId="47" borderId="12" xfId="0" applyFont="1" applyFill="1" applyBorder="1" applyAlignment="1">
      <alignment horizontal="center" vertical="center" wrapText="1"/>
    </xf>
    <xf numFmtId="0" fontId="0" fillId="34" borderId="0" xfId="0" applyFill="1" applyAlignment="1">
      <alignment vertical="top"/>
    </xf>
    <xf numFmtId="0" fontId="0" fillId="34" borderId="0" xfId="0" applyFill="1" applyAlignment="1">
      <alignment horizontal="center" vertical="top"/>
    </xf>
    <xf numFmtId="0" fontId="23" fillId="34" borderId="13" xfId="0" applyFont="1" applyFill="1" applyBorder="1" applyAlignment="1">
      <alignment horizontal="center" vertical="top"/>
    </xf>
    <xf numFmtId="0" fontId="26" fillId="34" borderId="0" xfId="0" applyFont="1" applyFill="1" applyAlignment="1">
      <alignment horizontal="center" vertical="top"/>
    </xf>
    <xf numFmtId="1" fontId="0" fillId="0" borderId="0" xfId="0" applyNumberFormat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66" fontId="0" fillId="35" borderId="0" xfId="0" applyNumberFormat="1" applyFill="1" applyAlignment="1">
      <alignment horizontal="center" vertical="top"/>
    </xf>
    <xf numFmtId="166" fontId="0" fillId="36" borderId="0" xfId="0" applyNumberFormat="1" applyFill="1" applyAlignment="1">
      <alignment horizontal="center" vertical="top"/>
    </xf>
    <xf numFmtId="1" fontId="0" fillId="35" borderId="0" xfId="0" applyNumberFormat="1" applyFill="1" applyAlignment="1">
      <alignment horizontal="center" vertical="top"/>
    </xf>
    <xf numFmtId="1" fontId="0" fillId="36" borderId="0" xfId="0" applyNumberFormat="1" applyFill="1" applyAlignment="1">
      <alignment horizontal="center" vertical="top"/>
    </xf>
    <xf numFmtId="166" fontId="16" fillId="0" borderId="0" xfId="0" applyNumberFormat="1" applyFont="1" applyAlignment="1">
      <alignment horizontal="center" vertical="top" wrapText="1"/>
    </xf>
    <xf numFmtId="0" fontId="0" fillId="48" borderId="0" xfId="0" applyFill="1" applyAlignment="1">
      <alignment horizontal="center" vertical="top"/>
    </xf>
    <xf numFmtId="0" fontId="0" fillId="48" borderId="0" xfId="0" applyFill="1" applyAlignment="1">
      <alignment vertical="top"/>
    </xf>
    <xf numFmtId="166" fontId="0" fillId="48" borderId="0" xfId="0" applyNumberFormat="1" applyFill="1" applyAlignment="1">
      <alignment horizontal="center" vertical="top"/>
    </xf>
    <xf numFmtId="1" fontId="0" fillId="48" borderId="0" xfId="0" applyNumberFormat="1" applyFill="1" applyAlignment="1">
      <alignment horizontal="center" vertical="top"/>
    </xf>
    <xf numFmtId="0" fontId="0" fillId="48" borderId="15" xfId="0" applyFill="1" applyBorder="1" applyAlignment="1">
      <alignment horizontal="center" vertical="top"/>
    </xf>
    <xf numFmtId="0" fontId="0" fillId="48" borderId="15" xfId="0" applyFill="1" applyBorder="1" applyAlignment="1">
      <alignment vertical="top"/>
    </xf>
    <xf numFmtId="166" fontId="0" fillId="48" borderId="15" xfId="0" applyNumberFormat="1" applyFill="1" applyBorder="1" applyAlignment="1">
      <alignment horizontal="center" vertical="top"/>
    </xf>
    <xf numFmtId="1" fontId="0" fillId="48" borderId="15" xfId="0" applyNumberFormat="1" applyFill="1" applyBorder="1" applyAlignment="1">
      <alignment horizontal="center" vertical="top"/>
    </xf>
    <xf numFmtId="164" fontId="22" fillId="0" borderId="10" xfId="0" applyNumberFormat="1" applyFont="1" applyBorder="1" applyAlignment="1">
      <alignment horizontal="center" vertical="center" wrapText="1"/>
    </xf>
    <xf numFmtId="164" fontId="22" fillId="39" borderId="10" xfId="0" applyNumberFormat="1" applyFont="1" applyFill="1" applyBorder="1" applyAlignment="1">
      <alignment horizontal="center" vertical="center" wrapText="1"/>
    </xf>
    <xf numFmtId="164" fontId="22" fillId="36" borderId="10" xfId="0" applyNumberFormat="1" applyFont="1" applyFill="1" applyBorder="1" applyAlignment="1">
      <alignment horizontal="center" vertical="center" wrapText="1"/>
    </xf>
    <xf numFmtId="164" fontId="24" fillId="0" borderId="14" xfId="0" applyNumberFormat="1" applyFont="1" applyBorder="1" applyAlignment="1">
      <alignment horizontal="center" vertical="center" wrapText="1"/>
    </xf>
    <xf numFmtId="164" fontId="22" fillId="40" borderId="10" xfId="0" applyNumberFormat="1" applyFont="1" applyFill="1" applyBorder="1" applyAlignment="1">
      <alignment horizontal="center" vertical="center" wrapText="1"/>
    </xf>
    <xf numFmtId="164" fontId="22" fillId="38" borderId="10" xfId="0" applyNumberFormat="1" applyFont="1" applyFill="1" applyBorder="1" applyAlignment="1">
      <alignment horizontal="center" vertical="center" wrapText="1"/>
    </xf>
    <xf numFmtId="164" fontId="27" fillId="38" borderId="10" xfId="0" applyNumberFormat="1" applyFont="1" applyFill="1" applyBorder="1" applyAlignment="1">
      <alignment horizontal="center" vertical="center" wrapText="1"/>
    </xf>
    <xf numFmtId="164" fontId="27" fillId="0" borderId="10" xfId="0" applyNumberFormat="1" applyFont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0" fontId="0" fillId="40" borderId="0" xfId="0" applyFill="1"/>
    <xf numFmtId="44" fontId="0" fillId="40" borderId="0" xfId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E8C9-E14A-4129-90D7-119DDA8F1B05}">
  <dimension ref="A1:CL196"/>
  <sheetViews>
    <sheetView zoomScaleNormal="100" workbookViewId="0">
      <pane xSplit="2" ySplit="6" topLeftCell="BO10" activePane="bottomRight" state="frozen"/>
      <selection pane="topRight" activeCell="C1" sqref="C1"/>
      <selection pane="bottomLeft" activeCell="A7" sqref="A7"/>
      <selection pane="bottomRight" activeCell="CJ28" sqref="CJ28"/>
    </sheetView>
  </sheetViews>
  <sheetFormatPr defaultRowHeight="14.4" x14ac:dyDescent="0.3"/>
  <cols>
    <col min="1" max="1" width="6" style="6" customWidth="1"/>
    <col min="2" max="2" width="49.59765625" style="1" bestFit="1" customWidth="1"/>
    <col min="3" max="3" width="14.69921875" style="1" bestFit="1" customWidth="1"/>
    <col min="4" max="4" width="9.09765625" style="1" customWidth="1"/>
    <col min="5" max="5" width="9.09765625" style="16" customWidth="1"/>
    <col min="6" max="6" width="15" style="1" customWidth="1"/>
    <col min="7" max="7" width="9.09765625" style="1" customWidth="1"/>
    <col min="8" max="8" width="9.09765625" style="16" customWidth="1"/>
    <col min="9" max="9" width="13.296875" style="1" customWidth="1"/>
    <col min="10" max="10" width="14.09765625" style="1" customWidth="1"/>
    <col min="11" max="11" width="18.59765625" style="16" customWidth="1"/>
    <col min="12" max="12" width="14.296875" style="16" bestFit="1" customWidth="1"/>
    <col min="13" max="13" width="9.09765625" style="16" customWidth="1"/>
    <col min="14" max="14" width="23.5" style="1" bestFit="1" customWidth="1"/>
    <col min="15" max="83" width="4.796875" style="1" customWidth="1"/>
    <col min="84" max="87" width="4" style="1" customWidth="1"/>
    <col min="88" max="89" width="8.796875" style="1"/>
    <col min="90" max="90" width="7.69921875" style="1" customWidth="1"/>
    <col min="91" max="16384" width="8.796875" style="1"/>
  </cols>
  <sheetData>
    <row r="1" spans="1:88" hidden="1" x14ac:dyDescent="0.3"/>
    <row r="2" spans="1:88" hidden="1" x14ac:dyDescent="0.3"/>
    <row r="3" spans="1:88" hidden="1" x14ac:dyDescent="0.3"/>
    <row r="4" spans="1:88" hidden="1" x14ac:dyDescent="0.3"/>
    <row r="5" spans="1:88" hidden="1" x14ac:dyDescent="0.3"/>
    <row r="6" spans="1:88" s="8" customFormat="1" ht="78.599999999999994" customHeight="1" x14ac:dyDescent="0.3">
      <c r="A6" s="33" t="s">
        <v>0</v>
      </c>
      <c r="B6" s="34" t="s">
        <v>47</v>
      </c>
      <c r="C6" s="34" t="s">
        <v>1</v>
      </c>
      <c r="D6" s="34" t="s">
        <v>2</v>
      </c>
      <c r="E6" s="35" t="s">
        <v>3</v>
      </c>
      <c r="F6" s="34" t="s">
        <v>4</v>
      </c>
      <c r="G6" s="34" t="s">
        <v>5</v>
      </c>
      <c r="H6" s="35" t="s">
        <v>6</v>
      </c>
      <c r="I6" s="34" t="s">
        <v>7</v>
      </c>
      <c r="J6" s="34" t="s">
        <v>8</v>
      </c>
      <c r="K6" s="35" t="s">
        <v>9</v>
      </c>
      <c r="L6" s="35" t="s">
        <v>10</v>
      </c>
      <c r="M6" s="35" t="s">
        <v>11</v>
      </c>
      <c r="N6" s="34" t="s">
        <v>145</v>
      </c>
      <c r="O6" s="3">
        <f>P6-7</f>
        <v>46005</v>
      </c>
      <c r="P6" s="3">
        <f>Q6-7</f>
        <v>46012</v>
      </c>
      <c r="Q6" s="3">
        <f>R6-7</f>
        <v>46019</v>
      </c>
      <c r="R6" s="3">
        <v>46026</v>
      </c>
      <c r="S6" s="3">
        <f t="shared" ref="S6:CD6" si="0">R6+7</f>
        <v>46033</v>
      </c>
      <c r="T6" s="3">
        <f t="shared" si="0"/>
        <v>46040</v>
      </c>
      <c r="U6" s="3">
        <f t="shared" si="0"/>
        <v>46047</v>
      </c>
      <c r="V6" s="3">
        <f t="shared" si="0"/>
        <v>46054</v>
      </c>
      <c r="W6" s="3">
        <f t="shared" si="0"/>
        <v>46061</v>
      </c>
      <c r="X6" s="3">
        <f t="shared" si="0"/>
        <v>46068</v>
      </c>
      <c r="Y6" s="3">
        <f t="shared" si="0"/>
        <v>46075</v>
      </c>
      <c r="Z6" s="3">
        <f t="shared" si="0"/>
        <v>46082</v>
      </c>
      <c r="AA6" s="3">
        <f t="shared" si="0"/>
        <v>46089</v>
      </c>
      <c r="AB6" s="3">
        <f t="shared" si="0"/>
        <v>46096</v>
      </c>
      <c r="AC6" s="3">
        <f t="shared" si="0"/>
        <v>46103</v>
      </c>
      <c r="AD6" s="3">
        <f t="shared" si="0"/>
        <v>46110</v>
      </c>
      <c r="AE6" s="3">
        <f t="shared" si="0"/>
        <v>46117</v>
      </c>
      <c r="AF6" s="3">
        <f t="shared" si="0"/>
        <v>46124</v>
      </c>
      <c r="AG6" s="3">
        <f t="shared" si="0"/>
        <v>46131</v>
      </c>
      <c r="AH6" s="3">
        <f t="shared" si="0"/>
        <v>46138</v>
      </c>
      <c r="AI6" s="89">
        <f t="shared" si="0"/>
        <v>46145</v>
      </c>
      <c r="AJ6" s="3">
        <f t="shared" si="0"/>
        <v>46152</v>
      </c>
      <c r="AK6" s="3">
        <f t="shared" si="0"/>
        <v>46159</v>
      </c>
      <c r="AL6" s="3">
        <f t="shared" si="0"/>
        <v>46166</v>
      </c>
      <c r="AM6" s="3">
        <f t="shared" si="0"/>
        <v>46173</v>
      </c>
      <c r="AN6" s="95">
        <f t="shared" si="0"/>
        <v>46180</v>
      </c>
      <c r="AO6" s="3">
        <f t="shared" si="0"/>
        <v>46187</v>
      </c>
      <c r="AP6" s="3">
        <f t="shared" si="0"/>
        <v>46194</v>
      </c>
      <c r="AQ6" s="3">
        <f t="shared" si="0"/>
        <v>46201</v>
      </c>
      <c r="AR6" s="101">
        <f t="shared" si="0"/>
        <v>46208</v>
      </c>
      <c r="AS6" s="3">
        <f t="shared" si="0"/>
        <v>46215</v>
      </c>
      <c r="AT6" s="3">
        <f t="shared" si="0"/>
        <v>46222</v>
      </c>
      <c r="AU6" s="3">
        <f t="shared" si="0"/>
        <v>46229</v>
      </c>
      <c r="AV6" s="114">
        <f t="shared" si="0"/>
        <v>46236</v>
      </c>
      <c r="AW6" s="3">
        <f t="shared" si="0"/>
        <v>46243</v>
      </c>
      <c r="AX6" s="3">
        <f t="shared" si="0"/>
        <v>46250</v>
      </c>
      <c r="AY6" s="3">
        <f t="shared" si="0"/>
        <v>46257</v>
      </c>
      <c r="AZ6" s="3">
        <f t="shared" si="0"/>
        <v>46264</v>
      </c>
      <c r="BA6" s="3">
        <f t="shared" si="0"/>
        <v>46271</v>
      </c>
      <c r="BB6" s="3">
        <f t="shared" si="0"/>
        <v>46278</v>
      </c>
      <c r="BC6" s="3">
        <f t="shared" si="0"/>
        <v>46285</v>
      </c>
      <c r="BD6" s="3">
        <f t="shared" si="0"/>
        <v>46292</v>
      </c>
      <c r="BE6" s="3">
        <f t="shared" si="0"/>
        <v>46299</v>
      </c>
      <c r="BF6" s="3">
        <f t="shared" si="0"/>
        <v>46306</v>
      </c>
      <c r="BG6" s="3">
        <f t="shared" si="0"/>
        <v>46313</v>
      </c>
      <c r="BH6" s="3">
        <f t="shared" si="0"/>
        <v>46320</v>
      </c>
      <c r="BI6" s="3">
        <f t="shared" si="0"/>
        <v>46327</v>
      </c>
      <c r="BJ6" s="3">
        <f t="shared" si="0"/>
        <v>46334</v>
      </c>
      <c r="BK6" s="3">
        <f t="shared" si="0"/>
        <v>46341</v>
      </c>
      <c r="BL6" s="3">
        <f t="shared" si="0"/>
        <v>46348</v>
      </c>
      <c r="BM6" s="3">
        <f t="shared" si="0"/>
        <v>46355</v>
      </c>
      <c r="BN6" s="3">
        <f t="shared" si="0"/>
        <v>46362</v>
      </c>
      <c r="BO6" s="3">
        <f t="shared" si="0"/>
        <v>46369</v>
      </c>
      <c r="BP6" s="3">
        <f t="shared" si="0"/>
        <v>46376</v>
      </c>
      <c r="BQ6" s="3">
        <f t="shared" si="0"/>
        <v>46383</v>
      </c>
      <c r="BR6" s="3">
        <f t="shared" si="0"/>
        <v>46390</v>
      </c>
      <c r="BS6" s="3">
        <f t="shared" si="0"/>
        <v>46397</v>
      </c>
      <c r="BT6" s="3">
        <f t="shared" si="0"/>
        <v>46404</v>
      </c>
      <c r="BU6" s="3">
        <f t="shared" si="0"/>
        <v>46411</v>
      </c>
      <c r="BV6" s="3">
        <f t="shared" si="0"/>
        <v>46418</v>
      </c>
      <c r="BW6" s="3">
        <f t="shared" si="0"/>
        <v>46425</v>
      </c>
      <c r="BX6" s="3">
        <f t="shared" si="0"/>
        <v>46432</v>
      </c>
      <c r="BY6" s="3">
        <f t="shared" si="0"/>
        <v>46439</v>
      </c>
      <c r="BZ6" s="3">
        <f>BY6+7</f>
        <v>46446</v>
      </c>
      <c r="CA6" s="3">
        <f t="shared" si="0"/>
        <v>46453</v>
      </c>
      <c r="CB6" s="3">
        <f t="shared" si="0"/>
        <v>46460</v>
      </c>
      <c r="CC6" s="3">
        <f t="shared" si="0"/>
        <v>46467</v>
      </c>
      <c r="CD6" s="3">
        <f t="shared" si="0"/>
        <v>46474</v>
      </c>
      <c r="CE6" s="3">
        <f t="shared" ref="CE6:CI6" si="1">CD6+7</f>
        <v>46481</v>
      </c>
      <c r="CF6" s="3">
        <f t="shared" si="1"/>
        <v>46488</v>
      </c>
      <c r="CG6" s="3">
        <f t="shared" si="1"/>
        <v>46495</v>
      </c>
      <c r="CH6" s="3">
        <f t="shared" si="1"/>
        <v>46502</v>
      </c>
      <c r="CI6" s="3">
        <f t="shared" si="1"/>
        <v>46509</v>
      </c>
    </row>
    <row r="7" spans="1:88" x14ac:dyDescent="0.3">
      <c r="O7" s="1">
        <f>P7-1</f>
        <v>-3</v>
      </c>
      <c r="P7" s="1">
        <f>Q7-1</f>
        <v>-2</v>
      </c>
      <c r="Q7" s="1">
        <v>-1</v>
      </c>
      <c r="R7" s="4">
        <v>1</v>
      </c>
      <c r="S7" s="4">
        <f t="shared" ref="S7:CD7" si="2">R7+1</f>
        <v>2</v>
      </c>
      <c r="T7" s="4">
        <f t="shared" si="2"/>
        <v>3</v>
      </c>
      <c r="U7" s="4">
        <f t="shared" si="2"/>
        <v>4</v>
      </c>
      <c r="V7" s="4">
        <f t="shared" si="2"/>
        <v>5</v>
      </c>
      <c r="W7" s="4">
        <f t="shared" si="2"/>
        <v>6</v>
      </c>
      <c r="X7" s="4">
        <f t="shared" si="2"/>
        <v>7</v>
      </c>
      <c r="Y7" s="4">
        <f t="shared" si="2"/>
        <v>8</v>
      </c>
      <c r="Z7" s="4">
        <f t="shared" si="2"/>
        <v>9</v>
      </c>
      <c r="AA7" s="4">
        <f t="shared" si="2"/>
        <v>10</v>
      </c>
      <c r="AB7" s="4">
        <f t="shared" si="2"/>
        <v>11</v>
      </c>
      <c r="AC7" s="4">
        <f t="shared" si="2"/>
        <v>12</v>
      </c>
      <c r="AD7" s="4">
        <f t="shared" si="2"/>
        <v>13</v>
      </c>
      <c r="AE7" s="4">
        <f t="shared" si="2"/>
        <v>14</v>
      </c>
      <c r="AF7" s="4">
        <f t="shared" si="2"/>
        <v>15</v>
      </c>
      <c r="AG7" s="4">
        <f t="shared" si="2"/>
        <v>16</v>
      </c>
      <c r="AH7" s="4">
        <f t="shared" si="2"/>
        <v>17</v>
      </c>
      <c r="AI7" s="90">
        <f t="shared" si="2"/>
        <v>18</v>
      </c>
      <c r="AJ7" s="4">
        <f t="shared" si="2"/>
        <v>19</v>
      </c>
      <c r="AK7" s="4">
        <f t="shared" si="2"/>
        <v>20</v>
      </c>
      <c r="AL7" s="4">
        <f t="shared" si="2"/>
        <v>21</v>
      </c>
      <c r="AM7" s="4">
        <f t="shared" si="2"/>
        <v>22</v>
      </c>
      <c r="AN7" s="96">
        <f t="shared" si="2"/>
        <v>23</v>
      </c>
      <c r="AO7" s="4">
        <f t="shared" si="2"/>
        <v>24</v>
      </c>
      <c r="AP7" s="4">
        <f t="shared" si="2"/>
        <v>25</v>
      </c>
      <c r="AQ7" s="4">
        <f t="shared" si="2"/>
        <v>26</v>
      </c>
      <c r="AR7" s="102">
        <f t="shared" si="2"/>
        <v>27</v>
      </c>
      <c r="AS7" s="4">
        <f t="shared" si="2"/>
        <v>28</v>
      </c>
      <c r="AT7" s="4">
        <f t="shared" si="2"/>
        <v>29</v>
      </c>
      <c r="AU7" s="4">
        <f t="shared" si="2"/>
        <v>30</v>
      </c>
      <c r="AV7" s="115">
        <f t="shared" si="2"/>
        <v>31</v>
      </c>
      <c r="AW7" s="4">
        <f t="shared" si="2"/>
        <v>32</v>
      </c>
      <c r="AX7" s="4">
        <f t="shared" si="2"/>
        <v>33</v>
      </c>
      <c r="AY7" s="4">
        <f t="shared" si="2"/>
        <v>34</v>
      </c>
      <c r="AZ7" s="4">
        <f t="shared" si="2"/>
        <v>35</v>
      </c>
      <c r="BA7" s="4">
        <f t="shared" si="2"/>
        <v>36</v>
      </c>
      <c r="BB7" s="4">
        <f t="shared" si="2"/>
        <v>37</v>
      </c>
      <c r="BC7" s="4">
        <f t="shared" si="2"/>
        <v>38</v>
      </c>
      <c r="BD7" s="4">
        <f t="shared" si="2"/>
        <v>39</v>
      </c>
      <c r="BE7" s="4">
        <f t="shared" si="2"/>
        <v>40</v>
      </c>
      <c r="BF7" s="4">
        <f t="shared" si="2"/>
        <v>41</v>
      </c>
      <c r="BG7" s="4">
        <f t="shared" si="2"/>
        <v>42</v>
      </c>
      <c r="BH7" s="4">
        <f t="shared" si="2"/>
        <v>43</v>
      </c>
      <c r="BI7" s="4">
        <f t="shared" si="2"/>
        <v>44</v>
      </c>
      <c r="BJ7" s="4">
        <f t="shared" si="2"/>
        <v>45</v>
      </c>
      <c r="BK7" s="4">
        <f t="shared" si="2"/>
        <v>46</v>
      </c>
      <c r="BL7" s="4">
        <f t="shared" si="2"/>
        <v>47</v>
      </c>
      <c r="BM7" s="4">
        <f t="shared" si="2"/>
        <v>48</v>
      </c>
      <c r="BN7" s="4">
        <f t="shared" si="2"/>
        <v>49</v>
      </c>
      <c r="BO7" s="4">
        <f t="shared" si="2"/>
        <v>50</v>
      </c>
      <c r="BP7" s="4">
        <f t="shared" si="2"/>
        <v>51</v>
      </c>
      <c r="BQ7" s="4">
        <f t="shared" si="2"/>
        <v>52</v>
      </c>
      <c r="BR7" s="4">
        <f t="shared" si="2"/>
        <v>53</v>
      </c>
      <c r="BS7" s="4">
        <f t="shared" si="2"/>
        <v>54</v>
      </c>
      <c r="BT7" s="4">
        <f t="shared" si="2"/>
        <v>55</v>
      </c>
      <c r="BU7" s="4">
        <f t="shared" si="2"/>
        <v>56</v>
      </c>
      <c r="BV7" s="4">
        <f t="shared" si="2"/>
        <v>57</v>
      </c>
      <c r="BW7" s="4">
        <f t="shared" si="2"/>
        <v>58</v>
      </c>
      <c r="BX7" s="4">
        <f t="shared" si="2"/>
        <v>59</v>
      </c>
      <c r="BY7" s="4">
        <f t="shared" si="2"/>
        <v>60</v>
      </c>
      <c r="BZ7" s="4">
        <f t="shared" si="2"/>
        <v>61</v>
      </c>
      <c r="CA7" s="4">
        <f t="shared" si="2"/>
        <v>62</v>
      </c>
      <c r="CB7" s="4">
        <f t="shared" si="2"/>
        <v>63</v>
      </c>
      <c r="CC7" s="4">
        <f t="shared" si="2"/>
        <v>64</v>
      </c>
      <c r="CD7" s="4">
        <f t="shared" si="2"/>
        <v>65</v>
      </c>
      <c r="CE7" s="4">
        <f t="shared" ref="CE7:CI7" si="3">CD7+1</f>
        <v>66</v>
      </c>
      <c r="CF7" s="4">
        <f t="shared" si="3"/>
        <v>67</v>
      </c>
      <c r="CG7" s="4">
        <f t="shared" si="3"/>
        <v>68</v>
      </c>
      <c r="CH7" s="4">
        <f t="shared" si="3"/>
        <v>69</v>
      </c>
      <c r="CI7" s="4">
        <f t="shared" si="3"/>
        <v>70</v>
      </c>
    </row>
    <row r="8" spans="1:88" x14ac:dyDescent="0.3">
      <c r="A8" s="9" t="s">
        <v>46</v>
      </c>
      <c r="B8" s="7"/>
      <c r="K8" s="135"/>
      <c r="L8" s="135"/>
      <c r="N8" s="2"/>
      <c r="AI8" s="91"/>
      <c r="AN8" s="97"/>
      <c r="AR8" s="103"/>
      <c r="AV8" s="116"/>
    </row>
    <row r="9" spans="1:88" x14ac:dyDescent="0.3">
      <c r="B9" s="8" t="s">
        <v>61</v>
      </c>
      <c r="K9" s="135"/>
      <c r="L9" s="135"/>
      <c r="N9" s="2"/>
      <c r="AI9" s="91"/>
      <c r="AN9" s="97"/>
      <c r="AR9" s="103"/>
      <c r="AV9" s="116"/>
    </row>
    <row r="10" spans="1:88" x14ac:dyDescent="0.3">
      <c r="B10" s="64" t="s">
        <v>12</v>
      </c>
      <c r="C10" s="46" t="s">
        <v>13</v>
      </c>
      <c r="D10" s="65" t="str">
        <f t="shared" ref="D10:D15" si="4">VLOOKUP(B10,Rate_Table,2,0)</f>
        <v>Ben Solum</v>
      </c>
      <c r="E10" s="66">
        <f>SUM(O10:CI10)</f>
        <v>3230</v>
      </c>
      <c r="F10" s="67" t="e">
        <f>E10*D10</f>
        <v>#VALUE!</v>
      </c>
      <c r="G10" s="68">
        <v>2500</v>
      </c>
      <c r="H10" s="66">
        <f>INT(COUNT(O10:CI10)*0.8)</f>
        <v>53</v>
      </c>
      <c r="I10" s="67">
        <f>H10*G10</f>
        <v>132500</v>
      </c>
      <c r="J10" s="67" t="e">
        <f>SUM(F10,I10)</f>
        <v>#VALUE!</v>
      </c>
      <c r="K10" s="136" cm="1">
        <f t="array" ref="K10">IFERROR(INDEX($O$6:$EM$6,MATCH(TRUE,O10:EM10&lt;&gt;"",0)),"")</f>
        <v>46005</v>
      </c>
      <c r="L10" s="136" cm="1">
        <f t="array" ref="L10">IFERROR(INDEX($O$6:$CI$6,_xlfn.XMATCH(1,(O10:CI10&lt;&gt;"")*1,,-1))-1,"")</f>
        <v>46466</v>
      </c>
      <c r="M10" s="66">
        <f>COUNTA(O10:EM10)</f>
        <v>67</v>
      </c>
      <c r="N10" s="69">
        <f t="shared" ref="N10:N13" si="5">IFERROR(K10+1,"")</f>
        <v>46006</v>
      </c>
      <c r="O10" s="66">
        <v>50</v>
      </c>
      <c r="P10" s="66">
        <v>30</v>
      </c>
      <c r="Q10" s="66">
        <v>30</v>
      </c>
      <c r="R10" s="66">
        <v>50</v>
      </c>
      <c r="S10" s="66">
        <v>50</v>
      </c>
      <c r="T10" s="66">
        <v>50</v>
      </c>
      <c r="U10" s="66">
        <v>50</v>
      </c>
      <c r="V10" s="66">
        <v>50</v>
      </c>
      <c r="W10" s="66">
        <v>50</v>
      </c>
      <c r="X10" s="66">
        <v>50</v>
      </c>
      <c r="Y10" s="66">
        <v>50</v>
      </c>
      <c r="Z10" s="66">
        <v>50</v>
      </c>
      <c r="AA10" s="66">
        <v>50</v>
      </c>
      <c r="AB10" s="66">
        <v>50</v>
      </c>
      <c r="AC10" s="66">
        <v>50</v>
      </c>
      <c r="AD10" s="66">
        <v>50</v>
      </c>
      <c r="AE10" s="66">
        <v>50</v>
      </c>
      <c r="AF10" s="66">
        <v>50</v>
      </c>
      <c r="AG10" s="66">
        <v>50</v>
      </c>
      <c r="AH10" s="66">
        <v>50</v>
      </c>
      <c r="AI10" s="92">
        <v>40</v>
      </c>
      <c r="AJ10" s="66">
        <v>50</v>
      </c>
      <c r="AK10" s="66">
        <v>50</v>
      </c>
      <c r="AL10" s="66">
        <v>50</v>
      </c>
      <c r="AM10" s="66">
        <v>50</v>
      </c>
      <c r="AN10" s="98">
        <v>50</v>
      </c>
      <c r="AO10" s="66">
        <v>50</v>
      </c>
      <c r="AP10" s="66">
        <v>50</v>
      </c>
      <c r="AQ10" s="66">
        <v>50</v>
      </c>
      <c r="AR10" s="104">
        <v>40</v>
      </c>
      <c r="AS10" s="66">
        <v>50</v>
      </c>
      <c r="AT10" s="66">
        <v>50</v>
      </c>
      <c r="AU10" s="66">
        <v>50</v>
      </c>
      <c r="AV10" s="117">
        <v>50</v>
      </c>
      <c r="AW10" s="66">
        <v>50</v>
      </c>
      <c r="AX10" s="66">
        <v>50</v>
      </c>
      <c r="AY10" s="66">
        <v>50</v>
      </c>
      <c r="AZ10" s="66">
        <v>50</v>
      </c>
      <c r="BA10" s="66">
        <v>50</v>
      </c>
      <c r="BB10" s="66">
        <v>50</v>
      </c>
      <c r="BC10" s="66">
        <v>50</v>
      </c>
      <c r="BD10" s="66">
        <v>50</v>
      </c>
      <c r="BE10" s="66">
        <v>50</v>
      </c>
      <c r="BF10" s="66">
        <v>50</v>
      </c>
      <c r="BG10" s="66">
        <v>50</v>
      </c>
      <c r="BH10" s="66">
        <v>50</v>
      </c>
      <c r="BI10" s="66">
        <v>50</v>
      </c>
      <c r="BJ10" s="66">
        <v>50</v>
      </c>
      <c r="BK10" s="66">
        <v>50</v>
      </c>
      <c r="BL10" s="66">
        <v>50</v>
      </c>
      <c r="BM10" s="66">
        <v>30</v>
      </c>
      <c r="BN10" s="66">
        <v>50</v>
      </c>
      <c r="BO10" s="66">
        <v>50</v>
      </c>
      <c r="BP10" s="66">
        <v>30</v>
      </c>
      <c r="BQ10" s="66">
        <v>30</v>
      </c>
      <c r="BR10" s="66">
        <v>50</v>
      </c>
      <c r="BS10" s="66">
        <v>50</v>
      </c>
      <c r="BT10" s="66">
        <v>50</v>
      </c>
      <c r="BU10" s="66">
        <v>50</v>
      </c>
      <c r="BV10" s="66">
        <v>50</v>
      </c>
      <c r="BW10" s="66">
        <v>50</v>
      </c>
      <c r="BX10" s="66">
        <v>50</v>
      </c>
      <c r="BY10" s="66">
        <v>50</v>
      </c>
      <c r="BZ10" s="66">
        <v>50</v>
      </c>
      <c r="CA10" s="66">
        <v>50</v>
      </c>
      <c r="CB10" s="66">
        <v>50</v>
      </c>
      <c r="CC10" s="66">
        <v>50</v>
      </c>
      <c r="CD10" s="66"/>
      <c r="CE10" s="66"/>
      <c r="CF10" s="46"/>
      <c r="CG10" s="46"/>
      <c r="CH10" s="46"/>
      <c r="CI10" s="46"/>
      <c r="CJ10" s="46"/>
    </row>
    <row r="11" spans="1:88" x14ac:dyDescent="0.3">
      <c r="B11" s="64" t="s">
        <v>14</v>
      </c>
      <c r="C11" s="46" t="s">
        <v>15</v>
      </c>
      <c r="D11" s="65" t="str">
        <f t="shared" si="4"/>
        <v>Lashica Woodard</v>
      </c>
      <c r="E11" s="66">
        <f t="shared" ref="E11:E72" si="6">SUM(O11:CI11)</f>
        <v>3130</v>
      </c>
      <c r="F11" s="67" t="e">
        <f t="shared" ref="F11:F72" si="7">E11*D11</f>
        <v>#VALUE!</v>
      </c>
      <c r="G11" s="68">
        <v>2500</v>
      </c>
      <c r="H11" s="66">
        <f>INT(COUNT(O11:CI11)*0.5)</f>
        <v>32</v>
      </c>
      <c r="I11" s="67">
        <f t="shared" ref="I11:I72" si="8">H11*G11</f>
        <v>80000</v>
      </c>
      <c r="J11" s="67" t="e">
        <f t="shared" ref="J11:J72" si="9">SUM(F11,I11)</f>
        <v>#VALUE!</v>
      </c>
      <c r="K11" s="136" cm="1">
        <f t="array" ref="K11">IFERROR(INDEX($O$6:$EM$6,MATCH(TRUE,O11:EM11&lt;&gt;"",0)),"")</f>
        <v>46005</v>
      </c>
      <c r="L11" s="136" cm="1">
        <f t="array" ref="L11">IFERROR(INDEX($O$6:$CI$6,_xlfn.XMATCH(1,(O11:CI11&lt;&gt;"")*1,,-1))-1,"")</f>
        <v>46452</v>
      </c>
      <c r="M11" s="66">
        <f t="shared" ref="M11:M56" si="10">COUNTA(O11:EM11)</f>
        <v>65</v>
      </c>
      <c r="N11" s="69">
        <f t="shared" si="5"/>
        <v>46006</v>
      </c>
      <c r="O11" s="66">
        <v>50</v>
      </c>
      <c r="P11" s="66">
        <v>30</v>
      </c>
      <c r="Q11" s="66">
        <v>30</v>
      </c>
      <c r="R11" s="66">
        <v>50</v>
      </c>
      <c r="S11" s="66">
        <v>50</v>
      </c>
      <c r="T11" s="66">
        <v>50</v>
      </c>
      <c r="U11" s="66">
        <v>50</v>
      </c>
      <c r="V11" s="66">
        <v>50</v>
      </c>
      <c r="W11" s="66">
        <v>50</v>
      </c>
      <c r="X11" s="66">
        <v>50</v>
      </c>
      <c r="Y11" s="66">
        <v>50</v>
      </c>
      <c r="Z11" s="66">
        <v>50</v>
      </c>
      <c r="AA11" s="66">
        <v>50</v>
      </c>
      <c r="AB11" s="66">
        <v>50</v>
      </c>
      <c r="AC11" s="66">
        <v>50</v>
      </c>
      <c r="AD11" s="66">
        <v>50</v>
      </c>
      <c r="AE11" s="66">
        <v>50</v>
      </c>
      <c r="AF11" s="66">
        <v>50</v>
      </c>
      <c r="AG11" s="66">
        <v>50</v>
      </c>
      <c r="AH11" s="66">
        <v>50</v>
      </c>
      <c r="AI11" s="92">
        <v>40</v>
      </c>
      <c r="AJ11" s="66">
        <v>50</v>
      </c>
      <c r="AK11" s="66">
        <v>50</v>
      </c>
      <c r="AL11" s="66">
        <v>50</v>
      </c>
      <c r="AM11" s="66">
        <v>50</v>
      </c>
      <c r="AN11" s="98">
        <v>50</v>
      </c>
      <c r="AO11" s="66">
        <v>50</v>
      </c>
      <c r="AP11" s="66">
        <v>50</v>
      </c>
      <c r="AQ11" s="66">
        <v>50</v>
      </c>
      <c r="AR11" s="104">
        <v>40</v>
      </c>
      <c r="AS11" s="66">
        <v>50</v>
      </c>
      <c r="AT11" s="66">
        <v>50</v>
      </c>
      <c r="AU11" s="66">
        <v>50</v>
      </c>
      <c r="AV11" s="117">
        <v>50</v>
      </c>
      <c r="AW11" s="66">
        <v>50</v>
      </c>
      <c r="AX11" s="66">
        <v>50</v>
      </c>
      <c r="AY11" s="66">
        <v>50</v>
      </c>
      <c r="AZ11" s="66">
        <v>50</v>
      </c>
      <c r="BA11" s="66">
        <v>50</v>
      </c>
      <c r="BB11" s="66">
        <v>50</v>
      </c>
      <c r="BC11" s="66">
        <v>50</v>
      </c>
      <c r="BD11" s="66">
        <v>50</v>
      </c>
      <c r="BE11" s="66">
        <v>50</v>
      </c>
      <c r="BF11" s="66">
        <v>50</v>
      </c>
      <c r="BG11" s="66">
        <v>50</v>
      </c>
      <c r="BH11" s="66">
        <v>50</v>
      </c>
      <c r="BI11" s="66">
        <v>50</v>
      </c>
      <c r="BJ11" s="66">
        <v>50</v>
      </c>
      <c r="BK11" s="66">
        <v>50</v>
      </c>
      <c r="BL11" s="66">
        <v>50</v>
      </c>
      <c r="BM11" s="66">
        <v>30</v>
      </c>
      <c r="BN11" s="66">
        <v>50</v>
      </c>
      <c r="BO11" s="66">
        <v>50</v>
      </c>
      <c r="BP11" s="66">
        <v>30</v>
      </c>
      <c r="BQ11" s="66">
        <v>30</v>
      </c>
      <c r="BR11" s="66">
        <v>50</v>
      </c>
      <c r="BS11" s="66">
        <v>50</v>
      </c>
      <c r="BT11" s="66">
        <v>50</v>
      </c>
      <c r="BU11" s="66">
        <v>50</v>
      </c>
      <c r="BV11" s="66">
        <v>50</v>
      </c>
      <c r="BW11" s="66">
        <v>50</v>
      </c>
      <c r="BX11" s="66">
        <v>50</v>
      </c>
      <c r="BY11" s="66">
        <v>50</v>
      </c>
      <c r="BZ11" s="66">
        <v>50</v>
      </c>
      <c r="CA11" s="66">
        <v>50</v>
      </c>
      <c r="CB11" s="66"/>
      <c r="CC11" s="66"/>
      <c r="CD11" s="66"/>
      <c r="CE11" s="66"/>
      <c r="CF11" s="46"/>
      <c r="CG11" s="46"/>
      <c r="CH11" s="46"/>
      <c r="CI11" s="46"/>
      <c r="CJ11" s="46"/>
    </row>
    <row r="12" spans="1:88" x14ac:dyDescent="0.3">
      <c r="B12" s="64" t="s">
        <v>44</v>
      </c>
      <c r="C12" s="46" t="s">
        <v>16</v>
      </c>
      <c r="D12" s="65" t="str">
        <f t="shared" si="4"/>
        <v>Dakota Padoven</v>
      </c>
      <c r="E12" s="66">
        <f t="shared" si="6"/>
        <v>3230</v>
      </c>
      <c r="F12" s="67" t="e">
        <f t="shared" si="7"/>
        <v>#VALUE!</v>
      </c>
      <c r="G12" s="68">
        <v>2500</v>
      </c>
      <c r="H12" s="66">
        <f t="shared" ref="H12:H13" si="11">INT(COUNT(O12:CI12)*0.5)</f>
        <v>33</v>
      </c>
      <c r="I12" s="67">
        <f t="shared" si="8"/>
        <v>82500</v>
      </c>
      <c r="J12" s="67" t="e">
        <f t="shared" si="9"/>
        <v>#VALUE!</v>
      </c>
      <c r="K12" s="136" cm="1">
        <f t="array" ref="K12">IFERROR(INDEX($O$6:$EM$6,MATCH(TRUE,O12:EM12&lt;&gt;"",0)),"")</f>
        <v>46005</v>
      </c>
      <c r="L12" s="136" cm="1">
        <f t="array" ref="L12">IFERROR(INDEX($O$6:$CI$6,_xlfn.XMATCH(1,(O12:CI12&lt;&gt;"")*1,,-1))-1,"")</f>
        <v>46466</v>
      </c>
      <c r="M12" s="66">
        <f t="shared" si="10"/>
        <v>67</v>
      </c>
      <c r="N12" s="69">
        <f t="shared" si="5"/>
        <v>46006</v>
      </c>
      <c r="O12" s="66">
        <v>50</v>
      </c>
      <c r="P12" s="66">
        <v>30</v>
      </c>
      <c r="Q12" s="66">
        <v>30</v>
      </c>
      <c r="R12" s="66">
        <v>50</v>
      </c>
      <c r="S12" s="66">
        <v>50</v>
      </c>
      <c r="T12" s="66">
        <v>50</v>
      </c>
      <c r="U12" s="66">
        <v>50</v>
      </c>
      <c r="V12" s="66">
        <v>50</v>
      </c>
      <c r="W12" s="66">
        <v>50</v>
      </c>
      <c r="X12" s="66">
        <v>50</v>
      </c>
      <c r="Y12" s="66">
        <v>50</v>
      </c>
      <c r="Z12" s="66">
        <v>50</v>
      </c>
      <c r="AA12" s="66">
        <v>50</v>
      </c>
      <c r="AB12" s="66">
        <v>50</v>
      </c>
      <c r="AC12" s="66">
        <v>50</v>
      </c>
      <c r="AD12" s="66">
        <v>50</v>
      </c>
      <c r="AE12" s="66">
        <v>50</v>
      </c>
      <c r="AF12" s="66">
        <v>50</v>
      </c>
      <c r="AG12" s="66">
        <v>50</v>
      </c>
      <c r="AH12" s="66">
        <v>50</v>
      </c>
      <c r="AI12" s="92">
        <v>40</v>
      </c>
      <c r="AJ12" s="66">
        <v>50</v>
      </c>
      <c r="AK12" s="66">
        <v>50</v>
      </c>
      <c r="AL12" s="66">
        <v>50</v>
      </c>
      <c r="AM12" s="66">
        <v>50</v>
      </c>
      <c r="AN12" s="98">
        <v>50</v>
      </c>
      <c r="AO12" s="66">
        <v>50</v>
      </c>
      <c r="AP12" s="66">
        <v>50</v>
      </c>
      <c r="AQ12" s="66">
        <v>50</v>
      </c>
      <c r="AR12" s="104">
        <v>40</v>
      </c>
      <c r="AS12" s="66">
        <v>50</v>
      </c>
      <c r="AT12" s="66">
        <v>50</v>
      </c>
      <c r="AU12" s="66">
        <v>50</v>
      </c>
      <c r="AV12" s="117">
        <v>50</v>
      </c>
      <c r="AW12" s="66">
        <v>50</v>
      </c>
      <c r="AX12" s="66">
        <v>50</v>
      </c>
      <c r="AY12" s="66">
        <v>50</v>
      </c>
      <c r="AZ12" s="66">
        <v>50</v>
      </c>
      <c r="BA12" s="66">
        <v>50</v>
      </c>
      <c r="BB12" s="66">
        <v>50</v>
      </c>
      <c r="BC12" s="66">
        <v>50</v>
      </c>
      <c r="BD12" s="66">
        <v>50</v>
      </c>
      <c r="BE12" s="66">
        <v>50</v>
      </c>
      <c r="BF12" s="66">
        <v>50</v>
      </c>
      <c r="BG12" s="66">
        <v>50</v>
      </c>
      <c r="BH12" s="66">
        <v>50</v>
      </c>
      <c r="BI12" s="66">
        <v>50</v>
      </c>
      <c r="BJ12" s="66">
        <v>50</v>
      </c>
      <c r="BK12" s="66">
        <v>50</v>
      </c>
      <c r="BL12" s="66">
        <v>50</v>
      </c>
      <c r="BM12" s="66">
        <v>30</v>
      </c>
      <c r="BN12" s="66">
        <v>50</v>
      </c>
      <c r="BO12" s="66">
        <v>50</v>
      </c>
      <c r="BP12" s="66">
        <v>30</v>
      </c>
      <c r="BQ12" s="66">
        <v>30</v>
      </c>
      <c r="BR12" s="66">
        <v>50</v>
      </c>
      <c r="BS12" s="66">
        <v>50</v>
      </c>
      <c r="BT12" s="66">
        <v>50</v>
      </c>
      <c r="BU12" s="66">
        <v>50</v>
      </c>
      <c r="BV12" s="66">
        <v>50</v>
      </c>
      <c r="BW12" s="66">
        <v>50</v>
      </c>
      <c r="BX12" s="66">
        <v>50</v>
      </c>
      <c r="BY12" s="66">
        <v>50</v>
      </c>
      <c r="BZ12" s="66">
        <v>50</v>
      </c>
      <c r="CA12" s="66">
        <v>50</v>
      </c>
      <c r="CB12" s="66">
        <v>50</v>
      </c>
      <c r="CC12" s="66">
        <v>50</v>
      </c>
      <c r="CD12" s="66"/>
      <c r="CE12" s="66"/>
      <c r="CF12" s="46"/>
      <c r="CG12" s="46"/>
      <c r="CH12" s="46"/>
      <c r="CI12" s="46"/>
      <c r="CJ12" s="46"/>
    </row>
    <row r="13" spans="1:88" x14ac:dyDescent="0.3">
      <c r="B13" s="64" t="s">
        <v>45</v>
      </c>
      <c r="C13" s="46" t="s">
        <v>16</v>
      </c>
      <c r="D13" s="65" t="str">
        <f t="shared" si="4"/>
        <v>Christine Stockglausner</v>
      </c>
      <c r="E13" s="66">
        <f t="shared" ref="E13" si="12">SUM(O13:CI13)</f>
        <v>0</v>
      </c>
      <c r="F13" s="67" t="e">
        <f t="shared" ref="F13" si="13">E13*D13</f>
        <v>#VALUE!</v>
      </c>
      <c r="G13" s="68">
        <v>2500</v>
      </c>
      <c r="H13" s="66">
        <f t="shared" si="11"/>
        <v>0</v>
      </c>
      <c r="I13" s="67">
        <f t="shared" ref="I13" si="14">H13*G13</f>
        <v>0</v>
      </c>
      <c r="J13" s="67" t="e">
        <f t="shared" ref="J13" si="15">SUM(F13,I13)</f>
        <v>#VALUE!</v>
      </c>
      <c r="K13" s="136" t="str" cm="1">
        <f t="array" ref="K13">IFERROR(INDEX($O$6:$EM$6,MATCH(TRUE,O13:EM13&lt;&gt;"",0)),"")</f>
        <v/>
      </c>
      <c r="L13" s="136" t="str" cm="1">
        <f t="array" ref="L13">IFERROR(INDEX($O$6:$CI$6,_xlfn.XMATCH(1,(O13:CI13&lt;&gt;"")*1,,-1))-1,"")</f>
        <v/>
      </c>
      <c r="M13" s="66">
        <f>COUNTA(O13:EM13)</f>
        <v>0</v>
      </c>
      <c r="N13" s="69" t="str">
        <f t="shared" si="5"/>
        <v/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92"/>
      <c r="AJ13" s="66"/>
      <c r="AK13" s="66"/>
      <c r="AL13" s="66"/>
      <c r="AM13" s="66"/>
      <c r="AN13" s="98"/>
      <c r="AO13" s="66"/>
      <c r="AP13" s="66"/>
      <c r="AQ13" s="66"/>
      <c r="AR13" s="104"/>
      <c r="AS13" s="66"/>
      <c r="AT13" s="66"/>
      <c r="AU13" s="66"/>
      <c r="AV13" s="117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46"/>
      <c r="CG13" s="46"/>
      <c r="CH13" s="46"/>
      <c r="CI13" s="46"/>
      <c r="CJ13" s="46"/>
    </row>
    <row r="14" spans="1:88" x14ac:dyDescent="0.3">
      <c r="B14" s="109" t="s">
        <v>150</v>
      </c>
      <c r="C14" s="38" t="s">
        <v>149</v>
      </c>
      <c r="D14" s="110" t="str">
        <f t="shared" si="4"/>
        <v>Sherif Khamis</v>
      </c>
      <c r="E14" s="39">
        <f t="shared" ref="E14:E15" si="16">SUM(O14:CI14)</f>
        <v>260</v>
      </c>
      <c r="F14" s="111" t="e">
        <f t="shared" ref="F14:F15" si="17">E14*D14</f>
        <v>#VALUE!</v>
      </c>
      <c r="G14" s="112">
        <v>2500</v>
      </c>
      <c r="H14" s="39">
        <v>0</v>
      </c>
      <c r="I14" s="111">
        <f t="shared" ref="I14:I15" si="18">H14*G14</f>
        <v>0</v>
      </c>
      <c r="J14" s="111" t="e">
        <f t="shared" ref="J14:J15" si="19">SUM(F14,I14)</f>
        <v>#VALUE!</v>
      </c>
      <c r="K14" s="137" cm="1">
        <f t="array" ref="K14">IFERROR(INDEX($O$6:$EM$6,MATCH(TRUE,O14:EM14&lt;&gt;"",0)),"")</f>
        <v>46005</v>
      </c>
      <c r="L14" s="137" cm="1">
        <f t="array" ref="L14">IFERROR(INDEX($O$6:$CI$6,_xlfn.XMATCH(1,(O14:CI14&lt;&gt;"")*1,,-1))-1,"")</f>
        <v>46039</v>
      </c>
      <c r="M14" s="39">
        <f t="shared" ref="M14:M15" si="20">COUNTA(O14:EM14)</f>
        <v>6</v>
      </c>
      <c r="N14" s="113">
        <f t="shared" ref="N14:N15" si="21">IFERROR(K14+1,"")</f>
        <v>46006</v>
      </c>
      <c r="O14" s="39">
        <v>50</v>
      </c>
      <c r="P14" s="39">
        <v>30</v>
      </c>
      <c r="Q14" s="39">
        <v>30</v>
      </c>
      <c r="R14" s="39">
        <v>50</v>
      </c>
      <c r="S14" s="39">
        <v>50</v>
      </c>
      <c r="T14" s="39">
        <v>50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92"/>
      <c r="AJ14" s="39"/>
      <c r="AK14" s="39"/>
      <c r="AL14" s="39"/>
      <c r="AM14" s="39"/>
      <c r="AN14" s="98"/>
      <c r="AO14" s="39"/>
      <c r="AP14" s="39"/>
      <c r="AQ14" s="39"/>
      <c r="AR14" s="104"/>
      <c r="AS14" s="39"/>
      <c r="AT14" s="39"/>
      <c r="AU14" s="39"/>
      <c r="AV14" s="117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8"/>
      <c r="CG14" s="38"/>
      <c r="CH14" s="38"/>
      <c r="CI14" s="38"/>
      <c r="CJ14" s="38"/>
    </row>
    <row r="15" spans="1:88" x14ac:dyDescent="0.3">
      <c r="B15" s="109" t="s">
        <v>151</v>
      </c>
      <c r="C15" s="38" t="s">
        <v>152</v>
      </c>
      <c r="D15" s="110" t="str">
        <f t="shared" si="4"/>
        <v>Daniel Dus</v>
      </c>
      <c r="E15" s="39">
        <f t="shared" si="16"/>
        <v>260</v>
      </c>
      <c r="F15" s="111" t="e">
        <f t="shared" si="17"/>
        <v>#VALUE!</v>
      </c>
      <c r="G15" s="112">
        <v>2500</v>
      </c>
      <c r="H15" s="39">
        <v>0</v>
      </c>
      <c r="I15" s="111">
        <f t="shared" si="18"/>
        <v>0</v>
      </c>
      <c r="J15" s="111" t="e">
        <f t="shared" si="19"/>
        <v>#VALUE!</v>
      </c>
      <c r="K15" s="137" cm="1">
        <f t="array" ref="K15">IFERROR(INDEX($O$6:$EM$6,MATCH(TRUE,O15:EM15&lt;&gt;"",0)),"")</f>
        <v>46005</v>
      </c>
      <c r="L15" s="137" cm="1">
        <f t="array" ref="L15">IFERROR(INDEX($O$6:$CI$6,_xlfn.XMATCH(1,(O15:CI15&lt;&gt;"")*1,,-1))-1,"")</f>
        <v>46039</v>
      </c>
      <c r="M15" s="39">
        <f t="shared" si="20"/>
        <v>6</v>
      </c>
      <c r="N15" s="113">
        <f t="shared" si="21"/>
        <v>46006</v>
      </c>
      <c r="O15" s="39">
        <v>50</v>
      </c>
      <c r="P15" s="39">
        <v>30</v>
      </c>
      <c r="Q15" s="39">
        <v>30</v>
      </c>
      <c r="R15" s="39">
        <v>50</v>
      </c>
      <c r="S15" s="39">
        <v>50</v>
      </c>
      <c r="T15" s="39">
        <v>50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92"/>
      <c r="AJ15" s="39"/>
      <c r="AK15" s="39"/>
      <c r="AL15" s="39"/>
      <c r="AM15" s="39"/>
      <c r="AN15" s="98"/>
      <c r="AO15" s="39"/>
      <c r="AP15" s="39"/>
      <c r="AQ15" s="39"/>
      <c r="AR15" s="104"/>
      <c r="AS15" s="39"/>
      <c r="AT15" s="39"/>
      <c r="AU15" s="39"/>
      <c r="AV15" s="117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8"/>
      <c r="CG15" s="38"/>
      <c r="CH15" s="38"/>
      <c r="CI15" s="38"/>
      <c r="CJ15" s="38"/>
    </row>
    <row r="16" spans="1:88" s="18" customFormat="1" ht="15.6" x14ac:dyDescent="0.3">
      <c r="A16" s="21" t="s">
        <v>62</v>
      </c>
      <c r="B16" s="21"/>
      <c r="C16" s="22"/>
      <c r="D16" s="23"/>
      <c r="E16" s="24">
        <f>SUM(E10:E15)</f>
        <v>10110</v>
      </c>
      <c r="F16" s="25" t="e">
        <f>SUM(F10:F15)</f>
        <v>#VALUE!</v>
      </c>
      <c r="G16" s="26"/>
      <c r="H16" s="24"/>
      <c r="I16" s="25">
        <f>SUM(I10:I15)</f>
        <v>295000</v>
      </c>
      <c r="J16" s="25" t="e">
        <f>SUM(J10:J15)</f>
        <v>#VALUE!</v>
      </c>
      <c r="K16" s="138"/>
      <c r="L16" s="138"/>
      <c r="M16" s="24"/>
      <c r="N16" s="27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93"/>
      <c r="AJ16" s="24"/>
      <c r="AK16" s="24"/>
      <c r="AL16" s="24"/>
      <c r="AM16" s="24"/>
      <c r="AN16" s="99"/>
      <c r="AO16" s="24"/>
      <c r="AP16" s="24"/>
      <c r="AQ16" s="24"/>
      <c r="AR16" s="105"/>
      <c r="AS16" s="24"/>
      <c r="AT16" s="24"/>
      <c r="AU16" s="24"/>
      <c r="AV16" s="118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2"/>
      <c r="CG16" s="22"/>
      <c r="CH16" s="22"/>
      <c r="CI16" s="22"/>
      <c r="CJ16" s="1"/>
    </row>
    <row r="17" spans="1:88" x14ac:dyDescent="0.3">
      <c r="B17" s="7"/>
      <c r="D17" s="12"/>
      <c r="F17" s="15"/>
      <c r="G17" s="13"/>
      <c r="I17" s="15"/>
      <c r="J17" s="15"/>
      <c r="K17" s="135"/>
      <c r="L17" s="135"/>
      <c r="N17" s="10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92"/>
      <c r="AJ17" s="16"/>
      <c r="AK17" s="16"/>
      <c r="AL17" s="16"/>
      <c r="AM17" s="16"/>
      <c r="AN17" s="98"/>
      <c r="AO17" s="16"/>
      <c r="AP17" s="16"/>
      <c r="AQ17" s="16"/>
      <c r="AR17" s="104"/>
      <c r="AS17" s="16"/>
      <c r="AT17" s="16"/>
      <c r="AU17" s="16"/>
      <c r="AV17" s="117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</row>
    <row r="18" spans="1:88" x14ac:dyDescent="0.3">
      <c r="A18" s="9" t="s">
        <v>36</v>
      </c>
      <c r="B18" s="7"/>
      <c r="D18" s="12"/>
      <c r="F18" s="15"/>
      <c r="G18" s="13"/>
      <c r="I18" s="15"/>
      <c r="J18" s="15"/>
      <c r="K18" s="135"/>
      <c r="L18" s="135"/>
      <c r="N18" s="2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92"/>
      <c r="AJ18" s="16"/>
      <c r="AK18" s="16"/>
      <c r="AL18" s="16"/>
      <c r="AM18" s="16"/>
      <c r="AN18" s="98"/>
      <c r="AO18" s="16"/>
      <c r="AP18" s="16"/>
      <c r="AQ18" s="16"/>
      <c r="AR18" s="104"/>
      <c r="AS18" s="16"/>
      <c r="AT18" s="16"/>
      <c r="AU18" s="16"/>
      <c r="AV18" s="117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</row>
    <row r="19" spans="1:88" x14ac:dyDescent="0.3">
      <c r="B19" s="86" t="s">
        <v>37</v>
      </c>
      <c r="D19" s="12"/>
      <c r="F19" s="15"/>
      <c r="G19" s="13"/>
      <c r="I19" s="15"/>
      <c r="J19" s="15"/>
      <c r="K19" s="135"/>
      <c r="L19" s="135"/>
      <c r="N19" s="2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92"/>
      <c r="AJ19" s="16"/>
      <c r="AK19" s="16"/>
      <c r="AL19" s="16"/>
      <c r="AM19" s="16"/>
      <c r="AN19" s="98"/>
      <c r="AO19" s="16"/>
      <c r="AP19" s="16"/>
      <c r="AQ19" s="16"/>
      <c r="AR19" s="104"/>
      <c r="AS19" s="16"/>
      <c r="AT19" s="16"/>
      <c r="AU19" s="16"/>
      <c r="AV19" s="117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</row>
    <row r="20" spans="1:88" x14ac:dyDescent="0.3">
      <c r="B20" s="57" t="s">
        <v>17</v>
      </c>
      <c r="C20" s="58" t="s">
        <v>16</v>
      </c>
      <c r="D20" s="59" t="str">
        <f>VLOOKUP(B20,Rate_Table,2,0)</f>
        <v>Tyler Dunlap</v>
      </c>
      <c r="E20" s="60">
        <f t="shared" si="6"/>
        <v>550</v>
      </c>
      <c r="F20" s="61" t="e">
        <f t="shared" si="7"/>
        <v>#VALUE!</v>
      </c>
      <c r="G20" s="62">
        <v>2500</v>
      </c>
      <c r="H20" s="60">
        <f>INT(COUNT(O20:CI20)*1)</f>
        <v>11</v>
      </c>
      <c r="I20" s="61">
        <f t="shared" si="8"/>
        <v>27500</v>
      </c>
      <c r="J20" s="61" t="e">
        <f t="shared" si="9"/>
        <v>#VALUE!</v>
      </c>
      <c r="K20" s="139" cm="1">
        <f t="array" ref="K20">IFERROR(INDEX($O$6:$EM$6,MATCH(TRUE,O20:EM20&lt;&gt;"",0)),"")</f>
        <v>46033</v>
      </c>
      <c r="L20" s="139" cm="1">
        <f t="array" ref="L20">IFERROR(INDEX($O$6:$CI$6,_xlfn.XMATCH(1,(O20:CI20&lt;&gt;"")*1,,-1))-1,"")</f>
        <v>46102</v>
      </c>
      <c r="M20" s="60">
        <f t="shared" si="10"/>
        <v>11</v>
      </c>
      <c r="N20" s="63">
        <f t="shared" ref="N20:N23" si="22">IFERROR(K20+1,"")</f>
        <v>46034</v>
      </c>
      <c r="O20" s="60"/>
      <c r="P20" s="60"/>
      <c r="Q20" s="60"/>
      <c r="R20" s="60"/>
      <c r="S20" s="60">
        <v>50</v>
      </c>
      <c r="T20" s="60">
        <v>50</v>
      </c>
      <c r="U20" s="60">
        <v>50</v>
      </c>
      <c r="V20" s="60">
        <v>50</v>
      </c>
      <c r="W20" s="60">
        <v>50</v>
      </c>
      <c r="X20" s="60">
        <v>50</v>
      </c>
      <c r="Y20" s="60">
        <v>50</v>
      </c>
      <c r="Z20" s="60">
        <v>50</v>
      </c>
      <c r="AA20" s="60">
        <v>50</v>
      </c>
      <c r="AB20" s="60">
        <v>50</v>
      </c>
      <c r="AC20" s="60">
        <v>50</v>
      </c>
      <c r="AD20" s="60"/>
      <c r="AE20" s="60"/>
      <c r="AF20" s="60"/>
      <c r="AG20" s="60"/>
      <c r="AH20" s="60"/>
      <c r="AI20" s="92"/>
      <c r="AJ20" s="60"/>
      <c r="AK20" s="60"/>
      <c r="AL20" s="60"/>
      <c r="AM20" s="60"/>
      <c r="AN20" s="98"/>
      <c r="AO20" s="60"/>
      <c r="AP20" s="60"/>
      <c r="AQ20" s="60"/>
      <c r="AR20" s="104"/>
      <c r="AS20" s="60"/>
      <c r="AT20" s="60"/>
      <c r="AU20" s="60"/>
      <c r="AV20" s="117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58"/>
      <c r="CG20" s="58"/>
      <c r="CH20" s="58"/>
      <c r="CI20" s="58"/>
      <c r="CJ20" s="58"/>
    </row>
    <row r="21" spans="1:88" x14ac:dyDescent="0.3">
      <c r="B21" s="57" t="s">
        <v>19</v>
      </c>
      <c r="C21" s="58" t="s">
        <v>16</v>
      </c>
      <c r="D21" s="59" t="str">
        <f>VLOOKUP(B21,Rate_Table,2,0)</f>
        <v>Muhammed Kurt</v>
      </c>
      <c r="E21" s="60">
        <f t="shared" si="6"/>
        <v>550</v>
      </c>
      <c r="F21" s="61" t="e">
        <f t="shared" si="7"/>
        <v>#VALUE!</v>
      </c>
      <c r="G21" s="62">
        <v>2500</v>
      </c>
      <c r="H21" s="60">
        <f t="shared" ref="H21:H23" si="23">INT(COUNT(O21:CI21)*1)</f>
        <v>11</v>
      </c>
      <c r="I21" s="61">
        <f t="shared" si="8"/>
        <v>27500</v>
      </c>
      <c r="J21" s="61" t="e">
        <f t="shared" si="9"/>
        <v>#VALUE!</v>
      </c>
      <c r="K21" s="139" cm="1">
        <f t="array" ref="K21">IFERROR(INDEX($O$6:$EM$6,MATCH(TRUE,O21:EM21&lt;&gt;"",0)),"")</f>
        <v>46033</v>
      </c>
      <c r="L21" s="139" cm="1">
        <f t="array" ref="L21">IFERROR(INDEX($O$6:$CI$6,_xlfn.XMATCH(1,(O21:CI21&lt;&gt;"")*1,,-1))-1,"")</f>
        <v>46102</v>
      </c>
      <c r="M21" s="60">
        <f t="shared" si="10"/>
        <v>11</v>
      </c>
      <c r="N21" s="63">
        <f t="shared" si="22"/>
        <v>46034</v>
      </c>
      <c r="O21" s="60"/>
      <c r="P21" s="60"/>
      <c r="Q21" s="60"/>
      <c r="R21" s="60"/>
      <c r="S21" s="60">
        <v>50</v>
      </c>
      <c r="T21" s="60">
        <v>50</v>
      </c>
      <c r="U21" s="60">
        <v>50</v>
      </c>
      <c r="V21" s="60">
        <v>50</v>
      </c>
      <c r="W21" s="60">
        <v>50</v>
      </c>
      <c r="X21" s="60">
        <v>50</v>
      </c>
      <c r="Y21" s="60">
        <v>50</v>
      </c>
      <c r="Z21" s="60">
        <v>50</v>
      </c>
      <c r="AA21" s="60">
        <v>50</v>
      </c>
      <c r="AB21" s="60">
        <v>50</v>
      </c>
      <c r="AC21" s="60">
        <v>50</v>
      </c>
      <c r="AD21" s="60"/>
      <c r="AE21" s="60"/>
      <c r="AF21" s="60"/>
      <c r="AG21" s="60"/>
      <c r="AH21" s="60"/>
      <c r="AI21" s="92"/>
      <c r="AJ21" s="60"/>
      <c r="AK21" s="60"/>
      <c r="AL21" s="60"/>
      <c r="AM21" s="60"/>
      <c r="AN21" s="98"/>
      <c r="AO21" s="60"/>
      <c r="AP21" s="60"/>
      <c r="AQ21" s="60"/>
      <c r="AR21" s="104"/>
      <c r="AS21" s="60"/>
      <c r="AT21" s="60"/>
      <c r="AU21" s="60"/>
      <c r="AV21" s="117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58"/>
      <c r="CG21" s="58"/>
      <c r="CH21" s="58"/>
      <c r="CI21" s="58"/>
      <c r="CJ21" s="58"/>
    </row>
    <row r="22" spans="1:88" x14ac:dyDescent="0.3">
      <c r="B22" s="70" t="s">
        <v>55</v>
      </c>
      <c r="C22" s="44" t="s">
        <v>16</v>
      </c>
      <c r="D22" s="52" t="str">
        <f>VLOOKUP(B22,Rate_Table,2,0)</f>
        <v>Tyler Roady</v>
      </c>
      <c r="E22" s="53">
        <f t="shared" si="6"/>
        <v>550</v>
      </c>
      <c r="F22" s="54" t="e">
        <f t="shared" si="7"/>
        <v>#VALUE!</v>
      </c>
      <c r="G22" s="55">
        <v>2500</v>
      </c>
      <c r="H22" s="53">
        <f t="shared" si="23"/>
        <v>11</v>
      </c>
      <c r="I22" s="54">
        <f t="shared" si="8"/>
        <v>27500</v>
      </c>
      <c r="J22" s="54" t="e">
        <f t="shared" si="9"/>
        <v>#VALUE!</v>
      </c>
      <c r="K22" s="140" cm="1">
        <f t="array" ref="K22">IFERROR(INDEX($O$6:$EM$6,MATCH(TRUE,O22:EM22&lt;&gt;"",0)),"")</f>
        <v>46033</v>
      </c>
      <c r="L22" s="140" cm="1">
        <f t="array" ref="L22">IFERROR(INDEX($O$6:$CI$6,_xlfn.XMATCH(1,(O22:CI22&lt;&gt;"")*1,,-1))-1,"")</f>
        <v>46102</v>
      </c>
      <c r="M22" s="53">
        <f t="shared" si="10"/>
        <v>11</v>
      </c>
      <c r="N22" s="56">
        <f t="shared" si="22"/>
        <v>46034</v>
      </c>
      <c r="O22" s="53"/>
      <c r="P22" s="53"/>
      <c r="Q22" s="53"/>
      <c r="R22" s="53"/>
      <c r="S22" s="53">
        <v>50</v>
      </c>
      <c r="T22" s="53">
        <v>50</v>
      </c>
      <c r="U22" s="53">
        <v>50</v>
      </c>
      <c r="V22" s="53">
        <v>50</v>
      </c>
      <c r="W22" s="53">
        <v>50</v>
      </c>
      <c r="X22" s="53">
        <v>50</v>
      </c>
      <c r="Y22" s="53">
        <v>50</v>
      </c>
      <c r="Z22" s="53">
        <v>50</v>
      </c>
      <c r="AA22" s="53">
        <v>50</v>
      </c>
      <c r="AB22" s="53">
        <v>50</v>
      </c>
      <c r="AC22" s="53">
        <v>50</v>
      </c>
      <c r="AD22" s="53"/>
      <c r="AE22" s="53"/>
      <c r="AF22" s="53"/>
      <c r="AG22" s="53"/>
      <c r="AH22" s="53"/>
      <c r="AI22" s="92"/>
      <c r="AJ22" s="53"/>
      <c r="AK22" s="53"/>
      <c r="AL22" s="53"/>
      <c r="AM22" s="53"/>
      <c r="AN22" s="98"/>
      <c r="AO22" s="53"/>
      <c r="AP22" s="53"/>
      <c r="AQ22" s="53"/>
      <c r="AR22" s="104"/>
      <c r="AS22" s="53"/>
      <c r="AT22" s="53"/>
      <c r="AU22" s="53"/>
      <c r="AV22" s="117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44"/>
      <c r="CG22" s="44"/>
      <c r="CH22" s="44"/>
      <c r="CI22" s="44"/>
      <c r="CJ22" s="44"/>
    </row>
    <row r="23" spans="1:88" x14ac:dyDescent="0.3">
      <c r="B23" s="70" t="s">
        <v>59</v>
      </c>
      <c r="C23" s="44" t="s">
        <v>16</v>
      </c>
      <c r="D23" s="52" t="str">
        <f>VLOOKUP(B23,Rate_Table,2,0)</f>
        <v>Kevin Duong</v>
      </c>
      <c r="E23" s="53">
        <f t="shared" si="6"/>
        <v>550</v>
      </c>
      <c r="F23" s="54" t="e">
        <f t="shared" si="7"/>
        <v>#VALUE!</v>
      </c>
      <c r="G23" s="55">
        <v>2500</v>
      </c>
      <c r="H23" s="53">
        <f t="shared" si="23"/>
        <v>11</v>
      </c>
      <c r="I23" s="54">
        <f t="shared" si="8"/>
        <v>27500</v>
      </c>
      <c r="J23" s="54" t="e">
        <f t="shared" si="9"/>
        <v>#VALUE!</v>
      </c>
      <c r="K23" s="140" cm="1">
        <f t="array" ref="K23">IFERROR(INDEX($O$6:$EM$6,MATCH(TRUE,O23:EM23&lt;&gt;"",0)),"")</f>
        <v>46033</v>
      </c>
      <c r="L23" s="140" cm="1">
        <f t="array" ref="L23">IFERROR(INDEX($O$6:$CI$6,_xlfn.XMATCH(1,(O23:CI23&lt;&gt;"")*1,,-1))-1,"")</f>
        <v>46102</v>
      </c>
      <c r="M23" s="53">
        <f t="shared" si="10"/>
        <v>11</v>
      </c>
      <c r="N23" s="56">
        <f t="shared" si="22"/>
        <v>46034</v>
      </c>
      <c r="O23" s="53"/>
      <c r="P23" s="53"/>
      <c r="Q23" s="53"/>
      <c r="R23" s="53"/>
      <c r="S23" s="53">
        <v>50</v>
      </c>
      <c r="T23" s="53">
        <v>50</v>
      </c>
      <c r="U23" s="53">
        <v>50</v>
      </c>
      <c r="V23" s="53">
        <v>50</v>
      </c>
      <c r="W23" s="53">
        <v>50</v>
      </c>
      <c r="X23" s="53">
        <v>50</v>
      </c>
      <c r="Y23" s="53">
        <v>50</v>
      </c>
      <c r="Z23" s="53">
        <v>50</v>
      </c>
      <c r="AA23" s="53">
        <v>50</v>
      </c>
      <c r="AB23" s="53">
        <v>50</v>
      </c>
      <c r="AC23" s="53">
        <v>50</v>
      </c>
      <c r="AD23" s="53"/>
      <c r="AE23" s="53"/>
      <c r="AF23" s="53"/>
      <c r="AG23" s="53"/>
      <c r="AH23" s="53"/>
      <c r="AI23" s="92"/>
      <c r="AJ23" s="53"/>
      <c r="AK23" s="53"/>
      <c r="AL23" s="53"/>
      <c r="AM23" s="53"/>
      <c r="AN23" s="98"/>
      <c r="AO23" s="53"/>
      <c r="AP23" s="53"/>
      <c r="AQ23" s="53"/>
      <c r="AR23" s="104"/>
      <c r="AS23" s="53"/>
      <c r="AT23" s="53"/>
      <c r="AU23" s="53"/>
      <c r="AV23" s="117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44"/>
      <c r="CG23" s="44"/>
      <c r="CH23" s="44"/>
      <c r="CI23" s="44"/>
      <c r="CJ23" s="44"/>
    </row>
    <row r="24" spans="1:88" x14ac:dyDescent="0.3">
      <c r="B24" s="87" t="s">
        <v>39</v>
      </c>
      <c r="D24" s="77"/>
      <c r="F24" s="15"/>
      <c r="G24" s="78"/>
      <c r="I24" s="15"/>
      <c r="J24" s="15"/>
      <c r="K24" s="135"/>
      <c r="L24" s="135"/>
      <c r="N24" s="2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92"/>
      <c r="AJ24" s="16"/>
      <c r="AK24" s="16"/>
      <c r="AL24" s="16"/>
      <c r="AM24" s="16"/>
      <c r="AN24" s="98"/>
      <c r="AO24" s="16"/>
      <c r="AP24" s="16"/>
      <c r="AQ24" s="16"/>
      <c r="AR24" s="104"/>
      <c r="AS24" s="16"/>
      <c r="AT24" s="16"/>
      <c r="AU24" s="16"/>
      <c r="AV24" s="117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</row>
    <row r="25" spans="1:88" x14ac:dyDescent="0.3">
      <c r="B25" s="57" t="s">
        <v>17</v>
      </c>
      <c r="C25" s="58" t="s">
        <v>16</v>
      </c>
      <c r="D25" s="59" t="str">
        <f>VLOOKUP(B25,Rate_Table,2,0)</f>
        <v>Tyler Dunlap</v>
      </c>
      <c r="E25" s="60">
        <f t="shared" si="6"/>
        <v>250</v>
      </c>
      <c r="F25" s="61" t="e">
        <f t="shared" si="7"/>
        <v>#VALUE!</v>
      </c>
      <c r="G25" s="62">
        <v>2500</v>
      </c>
      <c r="H25" s="60">
        <f t="shared" ref="H25:H28" si="24">INT(COUNT(O25:CI25)*1)</f>
        <v>5</v>
      </c>
      <c r="I25" s="61">
        <f t="shared" si="8"/>
        <v>12500</v>
      </c>
      <c r="J25" s="61" t="e">
        <f t="shared" si="9"/>
        <v>#VALUE!</v>
      </c>
      <c r="K25" s="139" cm="1">
        <f t="array" ref="K25">IFERROR(INDEX($O$6:$EM$6,MATCH(TRUE,O25:EM25&lt;&gt;"",0)),"")</f>
        <v>46110</v>
      </c>
      <c r="L25" s="139" cm="1">
        <f t="array" ref="L25">IFERROR(INDEX($O$6:$CI$6,_xlfn.XMATCH(1,(O25:CI25&lt;&gt;"")*1,,-1))-1,"")</f>
        <v>46137</v>
      </c>
      <c r="M25" s="60">
        <f t="shared" si="10"/>
        <v>5</v>
      </c>
      <c r="N25" s="63">
        <f t="shared" ref="N25:N28" si="25">IFERROR(K25+1,"")</f>
        <v>46111</v>
      </c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>
        <v>50</v>
      </c>
      <c r="AE25" s="60">
        <v>50</v>
      </c>
      <c r="AF25" s="60">
        <v>50</v>
      </c>
      <c r="AG25" s="60">
        <v>50</v>
      </c>
      <c r="AH25" s="60">
        <v>50</v>
      </c>
      <c r="AI25" s="92"/>
      <c r="AJ25" s="60"/>
      <c r="AK25" s="60"/>
      <c r="AL25" s="60"/>
      <c r="AM25" s="60"/>
      <c r="AN25" s="98"/>
      <c r="AO25" s="60"/>
      <c r="AP25" s="60"/>
      <c r="AQ25" s="60"/>
      <c r="AR25" s="104"/>
      <c r="AS25" s="60"/>
      <c r="AT25" s="60"/>
      <c r="AU25" s="60"/>
      <c r="AV25" s="117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58"/>
      <c r="CG25" s="58"/>
      <c r="CH25" s="58"/>
      <c r="CI25" s="58"/>
      <c r="CJ25" s="58"/>
    </row>
    <row r="26" spans="1:88" x14ac:dyDescent="0.3">
      <c r="B26" s="57" t="s">
        <v>19</v>
      </c>
      <c r="C26" s="58" t="s">
        <v>16</v>
      </c>
      <c r="D26" s="59" t="str">
        <f>VLOOKUP(B26,Rate_Table,2,0)</f>
        <v>Muhammed Kurt</v>
      </c>
      <c r="E26" s="60">
        <f t="shared" si="6"/>
        <v>250</v>
      </c>
      <c r="F26" s="61" t="e">
        <f t="shared" si="7"/>
        <v>#VALUE!</v>
      </c>
      <c r="G26" s="62">
        <v>2500</v>
      </c>
      <c r="H26" s="60">
        <f t="shared" si="24"/>
        <v>5</v>
      </c>
      <c r="I26" s="61">
        <f t="shared" si="8"/>
        <v>12500</v>
      </c>
      <c r="J26" s="61" t="e">
        <f t="shared" si="9"/>
        <v>#VALUE!</v>
      </c>
      <c r="K26" s="139" cm="1">
        <f t="array" ref="K26">IFERROR(INDEX($O$6:$EM$6,MATCH(TRUE,O26:EM26&lt;&gt;"",0)),"")</f>
        <v>46110</v>
      </c>
      <c r="L26" s="139" cm="1">
        <f t="array" ref="L26">IFERROR(INDEX($O$6:$CI$6,_xlfn.XMATCH(1,(O26:CI26&lt;&gt;"")*1,,-1))-1,"")</f>
        <v>46137</v>
      </c>
      <c r="M26" s="60">
        <f t="shared" si="10"/>
        <v>5</v>
      </c>
      <c r="N26" s="63">
        <f t="shared" si="25"/>
        <v>46111</v>
      </c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>
        <v>50</v>
      </c>
      <c r="AE26" s="60">
        <v>50</v>
      </c>
      <c r="AF26" s="60">
        <v>50</v>
      </c>
      <c r="AG26" s="60">
        <v>50</v>
      </c>
      <c r="AH26" s="60">
        <v>50</v>
      </c>
      <c r="AI26" s="92"/>
      <c r="AJ26" s="60"/>
      <c r="AK26" s="60"/>
      <c r="AL26" s="60"/>
      <c r="AM26" s="60"/>
      <c r="AN26" s="98"/>
      <c r="AO26" s="60"/>
      <c r="AP26" s="60"/>
      <c r="AQ26" s="60"/>
      <c r="AR26" s="104"/>
      <c r="AS26" s="60"/>
      <c r="AT26" s="60"/>
      <c r="AU26" s="60"/>
      <c r="AV26" s="117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58"/>
      <c r="CG26" s="58"/>
      <c r="CH26" s="58"/>
      <c r="CI26" s="58"/>
      <c r="CJ26" s="58"/>
    </row>
    <row r="27" spans="1:88" x14ac:dyDescent="0.3">
      <c r="B27" s="70" t="s">
        <v>55</v>
      </c>
      <c r="C27" s="44" t="s">
        <v>16</v>
      </c>
      <c r="D27" s="52" t="str">
        <f>VLOOKUP(B27,Rate_Table,2,0)</f>
        <v>Tyler Roady</v>
      </c>
      <c r="E27" s="53">
        <f t="shared" si="6"/>
        <v>250</v>
      </c>
      <c r="F27" s="54" t="e">
        <f t="shared" si="7"/>
        <v>#VALUE!</v>
      </c>
      <c r="G27" s="55">
        <v>2500</v>
      </c>
      <c r="H27" s="53">
        <f t="shared" si="24"/>
        <v>5</v>
      </c>
      <c r="I27" s="54">
        <f t="shared" si="8"/>
        <v>12500</v>
      </c>
      <c r="J27" s="54" t="e">
        <f t="shared" si="9"/>
        <v>#VALUE!</v>
      </c>
      <c r="K27" s="140" cm="1">
        <f t="array" ref="K27">IFERROR(INDEX($O$6:$EM$6,MATCH(TRUE,O27:EM27&lt;&gt;"",0)),"")</f>
        <v>46110</v>
      </c>
      <c r="L27" s="140" cm="1">
        <f t="array" ref="L27">IFERROR(INDEX($O$6:$CI$6,_xlfn.XMATCH(1,(O27:CI27&lt;&gt;"")*1,,-1))-1,"")</f>
        <v>46137</v>
      </c>
      <c r="M27" s="53">
        <f t="shared" si="10"/>
        <v>5</v>
      </c>
      <c r="N27" s="56">
        <f t="shared" si="25"/>
        <v>46111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>
        <v>50</v>
      </c>
      <c r="AE27" s="53">
        <v>50</v>
      </c>
      <c r="AF27" s="53">
        <v>50</v>
      </c>
      <c r="AG27" s="53">
        <v>50</v>
      </c>
      <c r="AH27" s="53">
        <v>50</v>
      </c>
      <c r="AI27" s="92"/>
      <c r="AJ27" s="53"/>
      <c r="AK27" s="53"/>
      <c r="AL27" s="53"/>
      <c r="AM27" s="53"/>
      <c r="AN27" s="98"/>
      <c r="AO27" s="53"/>
      <c r="AP27" s="53"/>
      <c r="AQ27" s="53"/>
      <c r="AR27" s="104"/>
      <c r="AS27" s="53"/>
      <c r="AT27" s="53"/>
      <c r="AU27" s="53"/>
      <c r="AV27" s="117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44"/>
      <c r="CG27" s="44"/>
      <c r="CH27" s="44"/>
      <c r="CI27" s="44"/>
      <c r="CJ27" s="44"/>
    </row>
    <row r="28" spans="1:88" x14ac:dyDescent="0.3">
      <c r="B28" s="70" t="s">
        <v>59</v>
      </c>
      <c r="C28" s="44" t="s">
        <v>16</v>
      </c>
      <c r="D28" s="52" t="str">
        <f>VLOOKUP(B28,Rate_Table,2,0)</f>
        <v>Kevin Duong</v>
      </c>
      <c r="E28" s="53">
        <f t="shared" si="6"/>
        <v>250</v>
      </c>
      <c r="F28" s="54" t="e">
        <f t="shared" si="7"/>
        <v>#VALUE!</v>
      </c>
      <c r="G28" s="55">
        <v>2500</v>
      </c>
      <c r="H28" s="53">
        <f t="shared" si="24"/>
        <v>5</v>
      </c>
      <c r="I28" s="54">
        <f t="shared" si="8"/>
        <v>12500</v>
      </c>
      <c r="J28" s="54" t="e">
        <f t="shared" si="9"/>
        <v>#VALUE!</v>
      </c>
      <c r="K28" s="140" cm="1">
        <f t="array" ref="K28">IFERROR(INDEX($O$6:$EM$6,MATCH(TRUE,O28:EM28&lt;&gt;"",0)),"")</f>
        <v>46110</v>
      </c>
      <c r="L28" s="140" cm="1">
        <f t="array" ref="L28">IFERROR(INDEX($O$6:$CI$6,_xlfn.XMATCH(1,(O28:CI28&lt;&gt;"")*1,,-1))-1,"")</f>
        <v>46137</v>
      </c>
      <c r="M28" s="53">
        <f t="shared" si="10"/>
        <v>5</v>
      </c>
      <c r="N28" s="56">
        <f t="shared" si="25"/>
        <v>46111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>
        <v>50</v>
      </c>
      <c r="AE28" s="53">
        <v>50</v>
      </c>
      <c r="AF28" s="53">
        <v>50</v>
      </c>
      <c r="AG28" s="53">
        <v>50</v>
      </c>
      <c r="AH28" s="53">
        <v>50</v>
      </c>
      <c r="AI28" s="92"/>
      <c r="AJ28" s="53"/>
      <c r="AK28" s="53"/>
      <c r="AL28" s="53"/>
      <c r="AM28" s="53"/>
      <c r="AN28" s="98"/>
      <c r="AO28" s="53"/>
      <c r="AP28" s="53"/>
      <c r="AQ28" s="53"/>
      <c r="AR28" s="104"/>
      <c r="AS28" s="53"/>
      <c r="AT28" s="53"/>
      <c r="AU28" s="53"/>
      <c r="AV28" s="117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44"/>
      <c r="CG28" s="44"/>
      <c r="CH28" s="44"/>
      <c r="CI28" s="44"/>
      <c r="CJ28" s="44"/>
    </row>
    <row r="29" spans="1:88" s="18" customFormat="1" ht="15.6" x14ac:dyDescent="0.3">
      <c r="A29" s="21" t="s">
        <v>137</v>
      </c>
      <c r="B29" s="21"/>
      <c r="C29" s="22"/>
      <c r="D29" s="23"/>
      <c r="E29" s="24">
        <f>SUM(E20:E28)</f>
        <v>3200</v>
      </c>
      <c r="F29" s="25" t="e">
        <f>SUM(F20:F28)</f>
        <v>#VALUE!</v>
      </c>
      <c r="G29" s="26"/>
      <c r="H29" s="24"/>
      <c r="I29" s="25">
        <f>SUM(I20:I28)</f>
        <v>160000</v>
      </c>
      <c r="J29" s="25" t="e">
        <f>SUM(J20:J28)</f>
        <v>#VALUE!</v>
      </c>
      <c r="K29" s="138"/>
      <c r="L29" s="138"/>
      <c r="M29" s="24"/>
      <c r="N29" s="27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93"/>
      <c r="AJ29" s="24"/>
      <c r="AK29" s="24"/>
      <c r="AL29" s="24"/>
      <c r="AM29" s="24"/>
      <c r="AN29" s="99"/>
      <c r="AO29" s="24"/>
      <c r="AP29" s="24"/>
      <c r="AQ29" s="24"/>
      <c r="AR29" s="105"/>
      <c r="AS29" s="24"/>
      <c r="AT29" s="24"/>
      <c r="AU29" s="24"/>
      <c r="AV29" s="118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2"/>
      <c r="CG29" s="22"/>
      <c r="CH29" s="22"/>
      <c r="CI29" s="22"/>
      <c r="CJ29" s="1"/>
    </row>
    <row r="30" spans="1:88" x14ac:dyDescent="0.3">
      <c r="B30" s="7"/>
      <c r="D30" s="12"/>
      <c r="F30" s="15"/>
      <c r="G30" s="13"/>
      <c r="I30" s="15"/>
      <c r="J30" s="15"/>
      <c r="K30" s="135"/>
      <c r="L30" s="135"/>
      <c r="N30" s="10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92"/>
      <c r="AJ30" s="16"/>
      <c r="AK30" s="16"/>
      <c r="AL30" s="16"/>
      <c r="AM30" s="16"/>
      <c r="AN30" s="98"/>
      <c r="AO30" s="16"/>
      <c r="AP30" s="16"/>
      <c r="AQ30" s="16"/>
      <c r="AR30" s="104"/>
      <c r="AS30" s="16"/>
      <c r="AT30" s="16"/>
      <c r="AU30" s="16"/>
      <c r="AV30" s="117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</row>
    <row r="31" spans="1:88" x14ac:dyDescent="0.3">
      <c r="A31" s="9" t="s">
        <v>41</v>
      </c>
      <c r="B31" s="7"/>
      <c r="D31" s="12"/>
      <c r="F31" s="15"/>
      <c r="G31" s="13"/>
      <c r="I31" s="15"/>
      <c r="J31" s="15"/>
      <c r="K31" s="135"/>
      <c r="L31" s="135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92"/>
      <c r="AJ31" s="16"/>
      <c r="AK31" s="16"/>
      <c r="AL31" s="16"/>
      <c r="AM31" s="16"/>
      <c r="AN31" s="98"/>
      <c r="AO31" s="16"/>
      <c r="AP31" s="16"/>
      <c r="AQ31" s="16"/>
      <c r="AR31" s="104"/>
      <c r="AS31" s="16"/>
      <c r="AT31" s="16"/>
      <c r="AU31" s="16"/>
      <c r="AV31" s="117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</row>
    <row r="32" spans="1:88" x14ac:dyDescent="0.3">
      <c r="B32" s="85" t="s">
        <v>23</v>
      </c>
      <c r="D32" s="12"/>
      <c r="F32" s="15"/>
      <c r="G32" s="13"/>
      <c r="I32" s="15"/>
      <c r="J32" s="15"/>
      <c r="K32" s="135"/>
      <c r="L32" s="135"/>
      <c r="N32" s="2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92"/>
      <c r="AJ32" s="16"/>
      <c r="AK32" s="16"/>
      <c r="AL32" s="16"/>
      <c r="AM32" s="16"/>
      <c r="AN32" s="98"/>
      <c r="AO32" s="16"/>
      <c r="AP32" s="16"/>
      <c r="AQ32" s="16"/>
      <c r="AR32" s="104"/>
      <c r="AS32" s="16"/>
      <c r="AT32" s="16"/>
      <c r="AU32" s="16"/>
      <c r="AV32" s="117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</row>
    <row r="33" spans="1:88" x14ac:dyDescent="0.3">
      <c r="B33" s="57" t="s">
        <v>17</v>
      </c>
      <c r="C33" s="58" t="s">
        <v>16</v>
      </c>
      <c r="D33" s="59" t="str">
        <f>VLOOKUP(B33,Rate_Table,2,0)</f>
        <v>Tyler Dunlap</v>
      </c>
      <c r="E33" s="60">
        <f>SUM(O33:CI33)</f>
        <v>440</v>
      </c>
      <c r="F33" s="61" t="e">
        <f>E33*D33</f>
        <v>#VALUE!</v>
      </c>
      <c r="G33" s="62">
        <v>2500</v>
      </c>
      <c r="H33" s="60">
        <f t="shared" ref="H33:H36" si="26">INT(COUNT(O33:CI33)*1)</f>
        <v>9</v>
      </c>
      <c r="I33" s="61">
        <f>H33*G33</f>
        <v>22500</v>
      </c>
      <c r="J33" s="61" t="e">
        <f>SUM(F33,I33)</f>
        <v>#VALUE!</v>
      </c>
      <c r="K33" s="139" cm="1">
        <f t="array" ref="K33">IFERROR(INDEX($O$6:$EM$6,MATCH(TRUE,O33:EM33&lt;&gt;"",0)),"")</f>
        <v>46145</v>
      </c>
      <c r="L33" s="139" cm="1">
        <f t="array" ref="L33">IFERROR(INDEX($O$6:$CI$6,_xlfn.XMATCH(1,(O33:CI33&lt;&gt;"")*1,,-1))-1,"")</f>
        <v>46200</v>
      </c>
      <c r="M33" s="60">
        <f>COUNTA(O33:EM33)</f>
        <v>9</v>
      </c>
      <c r="N33" s="63">
        <f t="shared" ref="N33:N36" si="27">IFERROR(K33+1,"")</f>
        <v>46146</v>
      </c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92">
        <v>40</v>
      </c>
      <c r="AJ33" s="60">
        <v>50</v>
      </c>
      <c r="AK33" s="60">
        <v>50</v>
      </c>
      <c r="AL33" s="60">
        <v>50</v>
      </c>
      <c r="AM33" s="60">
        <v>50</v>
      </c>
      <c r="AN33" s="98">
        <v>50</v>
      </c>
      <c r="AO33" s="60">
        <v>50</v>
      </c>
      <c r="AP33" s="60">
        <v>50</v>
      </c>
      <c r="AQ33" s="60">
        <v>50</v>
      </c>
      <c r="AR33" s="104"/>
      <c r="AS33" s="60"/>
      <c r="AT33" s="60"/>
      <c r="AU33" s="60"/>
      <c r="AV33" s="117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58"/>
      <c r="CG33" s="58"/>
      <c r="CH33" s="58"/>
      <c r="CI33" s="58"/>
      <c r="CJ33" s="58"/>
    </row>
    <row r="34" spans="1:88" x14ac:dyDescent="0.3">
      <c r="B34" s="57" t="s">
        <v>19</v>
      </c>
      <c r="C34" s="58" t="s">
        <v>16</v>
      </c>
      <c r="D34" s="59" t="str">
        <f>VLOOKUP(B34,Rate_Table,2,0)</f>
        <v>Muhammed Kurt</v>
      </c>
      <c r="E34" s="60">
        <f>SUM(O34:CI34)</f>
        <v>440</v>
      </c>
      <c r="F34" s="61" t="e">
        <f>E34*D34</f>
        <v>#VALUE!</v>
      </c>
      <c r="G34" s="62">
        <v>2500</v>
      </c>
      <c r="H34" s="60">
        <f t="shared" si="26"/>
        <v>9</v>
      </c>
      <c r="I34" s="61">
        <f>H34*G34</f>
        <v>22500</v>
      </c>
      <c r="J34" s="61" t="e">
        <f>SUM(F34,I34)</f>
        <v>#VALUE!</v>
      </c>
      <c r="K34" s="139" cm="1">
        <f t="array" ref="K34">IFERROR(INDEX($O$6:$EM$6,MATCH(TRUE,O34:EM34&lt;&gt;"",0)),"")</f>
        <v>46145</v>
      </c>
      <c r="L34" s="139" cm="1">
        <f t="array" ref="L34">IFERROR(INDEX($O$6:$CI$6,_xlfn.XMATCH(1,(O34:CI34&lt;&gt;"")*1,,-1))-1,"")</f>
        <v>46200</v>
      </c>
      <c r="M34" s="60">
        <f>COUNTA(O34:EM34)</f>
        <v>9</v>
      </c>
      <c r="N34" s="63">
        <f t="shared" si="27"/>
        <v>46146</v>
      </c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92">
        <v>40</v>
      </c>
      <c r="AJ34" s="60">
        <v>50</v>
      </c>
      <c r="AK34" s="60">
        <v>50</v>
      </c>
      <c r="AL34" s="60">
        <v>50</v>
      </c>
      <c r="AM34" s="60">
        <v>50</v>
      </c>
      <c r="AN34" s="98">
        <v>50</v>
      </c>
      <c r="AO34" s="60">
        <v>50</v>
      </c>
      <c r="AP34" s="60">
        <v>50</v>
      </c>
      <c r="AQ34" s="60">
        <v>50</v>
      </c>
      <c r="AR34" s="104"/>
      <c r="AS34" s="60"/>
      <c r="AT34" s="60"/>
      <c r="AU34" s="60"/>
      <c r="AV34" s="117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58"/>
      <c r="CG34" s="58"/>
      <c r="CH34" s="58"/>
      <c r="CI34" s="58"/>
      <c r="CJ34" s="58"/>
    </row>
    <row r="35" spans="1:88" x14ac:dyDescent="0.3">
      <c r="B35" s="70" t="s">
        <v>55</v>
      </c>
      <c r="C35" s="44" t="s">
        <v>16</v>
      </c>
      <c r="D35" s="52" t="str">
        <f>VLOOKUP(B35,Rate_Table,2,0)</f>
        <v>Tyler Roady</v>
      </c>
      <c r="E35" s="53">
        <f>SUM(O35:CI35)</f>
        <v>440</v>
      </c>
      <c r="F35" s="54" t="e">
        <f>E35*D35</f>
        <v>#VALUE!</v>
      </c>
      <c r="G35" s="55">
        <v>2500</v>
      </c>
      <c r="H35" s="53">
        <f t="shared" si="26"/>
        <v>9</v>
      </c>
      <c r="I35" s="54">
        <f>H35*G35</f>
        <v>22500</v>
      </c>
      <c r="J35" s="54" t="e">
        <f>SUM(F35,I35)</f>
        <v>#VALUE!</v>
      </c>
      <c r="K35" s="140" cm="1">
        <f t="array" ref="K35">IFERROR(INDEX($O$6:$EM$6,MATCH(TRUE,O35:EM35&lt;&gt;"",0)),"")</f>
        <v>46145</v>
      </c>
      <c r="L35" s="140" cm="1">
        <f t="array" ref="L35">IFERROR(INDEX($O$6:$CI$6,_xlfn.XMATCH(1,(O35:CI35&lt;&gt;"")*1,,-1))-1,"")</f>
        <v>46200</v>
      </c>
      <c r="M35" s="53">
        <f>COUNTA(O35:EM35)</f>
        <v>9</v>
      </c>
      <c r="N35" s="56">
        <f t="shared" si="27"/>
        <v>46146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92">
        <v>40</v>
      </c>
      <c r="AJ35" s="53">
        <v>50</v>
      </c>
      <c r="AK35" s="53">
        <v>50</v>
      </c>
      <c r="AL35" s="53">
        <v>50</v>
      </c>
      <c r="AM35" s="53">
        <v>50</v>
      </c>
      <c r="AN35" s="98">
        <v>50</v>
      </c>
      <c r="AO35" s="53">
        <v>50</v>
      </c>
      <c r="AP35" s="53">
        <v>50</v>
      </c>
      <c r="AQ35" s="53">
        <v>50</v>
      </c>
      <c r="AR35" s="104"/>
      <c r="AS35" s="53"/>
      <c r="AT35" s="53"/>
      <c r="AU35" s="53"/>
      <c r="AV35" s="117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44"/>
      <c r="CG35" s="44"/>
      <c r="CH35" s="44"/>
      <c r="CI35" s="44"/>
      <c r="CJ35" s="44"/>
    </row>
    <row r="36" spans="1:88" x14ac:dyDescent="0.3">
      <c r="B36" s="70" t="s">
        <v>59</v>
      </c>
      <c r="C36" s="44" t="s">
        <v>16</v>
      </c>
      <c r="D36" s="52" t="str">
        <f>VLOOKUP(B36,Rate_Table,2,0)</f>
        <v>Kevin Duong</v>
      </c>
      <c r="E36" s="53">
        <f>SUM(O36:CI36)</f>
        <v>440</v>
      </c>
      <c r="F36" s="54" t="e">
        <f>E36*D36</f>
        <v>#VALUE!</v>
      </c>
      <c r="G36" s="55">
        <v>2500</v>
      </c>
      <c r="H36" s="53">
        <f t="shared" si="26"/>
        <v>9</v>
      </c>
      <c r="I36" s="54">
        <f>H36*G36</f>
        <v>22500</v>
      </c>
      <c r="J36" s="54" t="e">
        <f>SUM(F36,I36)</f>
        <v>#VALUE!</v>
      </c>
      <c r="K36" s="140" cm="1">
        <f t="array" ref="K36">IFERROR(INDEX($O$6:$EM$6,MATCH(TRUE,O36:EM36&lt;&gt;"",0)),"")</f>
        <v>46145</v>
      </c>
      <c r="L36" s="140" cm="1">
        <f t="array" ref="L36">IFERROR(INDEX($O$6:$CI$6,_xlfn.XMATCH(1,(O36:CI36&lt;&gt;"")*1,,-1))-1,"")</f>
        <v>46200</v>
      </c>
      <c r="M36" s="53">
        <f>COUNTA(O36:EM36)</f>
        <v>9</v>
      </c>
      <c r="N36" s="56">
        <f t="shared" si="27"/>
        <v>46146</v>
      </c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92">
        <v>40</v>
      </c>
      <c r="AJ36" s="53">
        <v>50</v>
      </c>
      <c r="AK36" s="53">
        <v>50</v>
      </c>
      <c r="AL36" s="53">
        <v>50</v>
      </c>
      <c r="AM36" s="53">
        <v>50</v>
      </c>
      <c r="AN36" s="98">
        <v>50</v>
      </c>
      <c r="AO36" s="53">
        <v>50</v>
      </c>
      <c r="AP36" s="53">
        <v>50</v>
      </c>
      <c r="AQ36" s="53">
        <v>50</v>
      </c>
      <c r="AR36" s="104"/>
      <c r="AS36" s="53"/>
      <c r="AT36" s="53"/>
      <c r="AU36" s="53"/>
      <c r="AV36" s="117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44"/>
      <c r="CG36" s="44"/>
      <c r="CH36" s="44"/>
      <c r="CI36" s="44"/>
      <c r="CJ36" s="44"/>
    </row>
    <row r="37" spans="1:88" x14ac:dyDescent="0.3">
      <c r="B37" s="8" t="s">
        <v>24</v>
      </c>
      <c r="D37" s="12"/>
      <c r="F37" s="15"/>
      <c r="G37" s="13"/>
      <c r="I37" s="15"/>
      <c r="J37" s="15"/>
      <c r="K37" s="135"/>
      <c r="L37" s="135"/>
      <c r="N37" s="2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92"/>
      <c r="AJ37" s="16"/>
      <c r="AK37" s="16"/>
      <c r="AL37" s="16"/>
      <c r="AM37" s="16"/>
      <c r="AN37" s="98"/>
      <c r="AO37" s="16"/>
      <c r="AP37" s="16"/>
      <c r="AQ37" s="16"/>
      <c r="AR37" s="104"/>
      <c r="AS37" s="16"/>
      <c r="AT37" s="16"/>
      <c r="AU37" s="16"/>
      <c r="AV37" s="117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</row>
    <row r="38" spans="1:88" x14ac:dyDescent="0.3">
      <c r="B38" s="57" t="s">
        <v>17</v>
      </c>
      <c r="C38" s="58" t="s">
        <v>16</v>
      </c>
      <c r="D38" s="59" t="str">
        <f>VLOOKUP(B38,Rate_Table,2,0)</f>
        <v>Tyler Dunlap</v>
      </c>
      <c r="E38" s="60">
        <f>SUM(O38:CI38)</f>
        <v>190</v>
      </c>
      <c r="F38" s="61" t="e">
        <f>E38*D38</f>
        <v>#VALUE!</v>
      </c>
      <c r="G38" s="62">
        <v>2500</v>
      </c>
      <c r="H38" s="60">
        <f t="shared" ref="H38:H41" si="28">INT(COUNT(O38:CI38)*1)</f>
        <v>4</v>
      </c>
      <c r="I38" s="61">
        <f>H38*G38</f>
        <v>10000</v>
      </c>
      <c r="J38" s="61" t="e">
        <f>SUM(F38,I38)</f>
        <v>#VALUE!</v>
      </c>
      <c r="K38" s="139" cm="1">
        <f t="array" ref="K38">IFERROR(INDEX($O$6:$EM$6,MATCH(TRUE,O38:EM38&lt;&gt;"",0)),"")</f>
        <v>46208</v>
      </c>
      <c r="L38" s="139" cm="1">
        <f t="array" ref="L38">IFERROR(INDEX($O$6:$CI$6,_xlfn.XMATCH(1,(O38:CI38&lt;&gt;"")*1,,-1))-1,"")</f>
        <v>46228</v>
      </c>
      <c r="M38" s="60">
        <f t="shared" ref="M38:M41" si="29">COUNTA(O38:EM38)</f>
        <v>4</v>
      </c>
      <c r="N38" s="63">
        <f t="shared" ref="N38:N41" si="30">IFERROR(K38+1,"")</f>
        <v>46209</v>
      </c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92"/>
      <c r="AJ38" s="60"/>
      <c r="AK38" s="60"/>
      <c r="AL38" s="60"/>
      <c r="AM38" s="60"/>
      <c r="AN38" s="98"/>
      <c r="AO38" s="60"/>
      <c r="AP38" s="60"/>
      <c r="AQ38" s="60"/>
      <c r="AR38" s="104">
        <v>40</v>
      </c>
      <c r="AS38" s="60">
        <v>50</v>
      </c>
      <c r="AT38" s="60">
        <v>50</v>
      </c>
      <c r="AU38" s="60">
        <v>50</v>
      </c>
      <c r="AV38" s="117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58"/>
      <c r="CG38" s="58"/>
      <c r="CH38" s="58"/>
      <c r="CI38" s="58"/>
      <c r="CJ38" s="58"/>
    </row>
    <row r="39" spans="1:88" x14ac:dyDescent="0.3">
      <c r="B39" s="57" t="s">
        <v>19</v>
      </c>
      <c r="C39" s="58" t="s">
        <v>16</v>
      </c>
      <c r="D39" s="59" t="str">
        <f>VLOOKUP(B39,Rate_Table,2,0)</f>
        <v>Muhammed Kurt</v>
      </c>
      <c r="E39" s="60">
        <f>SUM(O39:CI39)</f>
        <v>140</v>
      </c>
      <c r="F39" s="61" t="e">
        <f>E39*D39</f>
        <v>#VALUE!</v>
      </c>
      <c r="G39" s="62">
        <v>2500</v>
      </c>
      <c r="H39" s="60">
        <f t="shared" si="28"/>
        <v>3</v>
      </c>
      <c r="I39" s="61">
        <f>H39*G39</f>
        <v>7500</v>
      </c>
      <c r="J39" s="61" t="e">
        <f>SUM(F39,I39)</f>
        <v>#VALUE!</v>
      </c>
      <c r="K39" s="139" cm="1">
        <f t="array" ref="K39">IFERROR(INDEX($O$6:$EM$6,MATCH(TRUE,O39:EM39&lt;&gt;"",0)),"")</f>
        <v>46208</v>
      </c>
      <c r="L39" s="139" cm="1">
        <f t="array" ref="L39">IFERROR(INDEX($O$6:$CI$6,_xlfn.XMATCH(1,(O39:CI39&lt;&gt;"")*1,,-1))-1,"")</f>
        <v>46221</v>
      </c>
      <c r="M39" s="60">
        <f t="shared" si="29"/>
        <v>3</v>
      </c>
      <c r="N39" s="63">
        <f t="shared" si="30"/>
        <v>46209</v>
      </c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92"/>
      <c r="AJ39" s="60"/>
      <c r="AK39" s="60"/>
      <c r="AL39" s="60"/>
      <c r="AM39" s="60"/>
      <c r="AN39" s="98"/>
      <c r="AO39" s="60"/>
      <c r="AP39" s="60"/>
      <c r="AQ39" s="60"/>
      <c r="AR39" s="104">
        <v>40</v>
      </c>
      <c r="AS39" s="60">
        <v>50</v>
      </c>
      <c r="AT39" s="60">
        <v>50</v>
      </c>
      <c r="AU39" s="60"/>
      <c r="AV39" s="117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58"/>
      <c r="CG39" s="58"/>
      <c r="CH39" s="58"/>
      <c r="CI39" s="58"/>
      <c r="CJ39" s="58"/>
    </row>
    <row r="40" spans="1:88" x14ac:dyDescent="0.3">
      <c r="B40" s="70" t="s">
        <v>55</v>
      </c>
      <c r="C40" s="44" t="s">
        <v>16</v>
      </c>
      <c r="D40" s="52" t="str">
        <f>VLOOKUP(B40,Rate_Table,2,0)</f>
        <v>Tyler Roady</v>
      </c>
      <c r="E40" s="53">
        <f>SUM(O40:CI40)</f>
        <v>190</v>
      </c>
      <c r="F40" s="54" t="e">
        <f>E40*D40</f>
        <v>#VALUE!</v>
      </c>
      <c r="G40" s="55">
        <v>2500</v>
      </c>
      <c r="H40" s="53">
        <f t="shared" si="28"/>
        <v>4</v>
      </c>
      <c r="I40" s="54">
        <f>H40*G40</f>
        <v>10000</v>
      </c>
      <c r="J40" s="54" t="e">
        <f>SUM(F40,I40)</f>
        <v>#VALUE!</v>
      </c>
      <c r="K40" s="140" cm="1">
        <f t="array" ref="K40">IFERROR(INDEX($O$6:$EM$6,MATCH(TRUE,O40:EM40&lt;&gt;"",0)),"")</f>
        <v>46208</v>
      </c>
      <c r="L40" s="140" cm="1">
        <f t="array" ref="L40">IFERROR(INDEX($O$6:$CI$6,_xlfn.XMATCH(1,(O40:CI40&lt;&gt;"")*1,,-1))-1,"")</f>
        <v>46228</v>
      </c>
      <c r="M40" s="53">
        <f t="shared" si="29"/>
        <v>4</v>
      </c>
      <c r="N40" s="56">
        <f t="shared" si="30"/>
        <v>46209</v>
      </c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92"/>
      <c r="AJ40" s="53"/>
      <c r="AK40" s="53"/>
      <c r="AL40" s="53"/>
      <c r="AM40" s="53"/>
      <c r="AN40" s="98"/>
      <c r="AO40" s="53"/>
      <c r="AP40" s="53"/>
      <c r="AQ40" s="53"/>
      <c r="AR40" s="104">
        <v>40</v>
      </c>
      <c r="AS40" s="53">
        <v>50</v>
      </c>
      <c r="AT40" s="53">
        <v>50</v>
      </c>
      <c r="AU40" s="53">
        <v>50</v>
      </c>
      <c r="AV40" s="117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44"/>
      <c r="CG40" s="44"/>
      <c r="CH40" s="44"/>
      <c r="CI40" s="44"/>
      <c r="CJ40" s="44"/>
    </row>
    <row r="41" spans="1:88" x14ac:dyDescent="0.3">
      <c r="B41" s="70" t="s">
        <v>59</v>
      </c>
      <c r="C41" s="44" t="s">
        <v>16</v>
      </c>
      <c r="D41" s="52" t="str">
        <f>VLOOKUP(B41,Rate_Table,2,0)</f>
        <v>Kevin Duong</v>
      </c>
      <c r="E41" s="53">
        <f>SUM(O41:CI41)</f>
        <v>190</v>
      </c>
      <c r="F41" s="54" t="e">
        <f>E41*D41</f>
        <v>#VALUE!</v>
      </c>
      <c r="G41" s="55">
        <v>2500</v>
      </c>
      <c r="H41" s="53">
        <f t="shared" si="28"/>
        <v>4</v>
      </c>
      <c r="I41" s="54">
        <f>H41*G41</f>
        <v>10000</v>
      </c>
      <c r="J41" s="54" t="e">
        <f>SUM(F41,I41)</f>
        <v>#VALUE!</v>
      </c>
      <c r="K41" s="140" cm="1">
        <f t="array" ref="K41">IFERROR(INDEX($O$6:$EM$6,MATCH(TRUE,O41:EM41&lt;&gt;"",0)),"")</f>
        <v>46208</v>
      </c>
      <c r="L41" s="140" cm="1">
        <f t="array" ref="L41">IFERROR(INDEX($O$6:$CI$6,_xlfn.XMATCH(1,(O41:CI41&lt;&gt;"")*1,,-1))-1,"")</f>
        <v>46228</v>
      </c>
      <c r="M41" s="53">
        <f t="shared" si="29"/>
        <v>4</v>
      </c>
      <c r="N41" s="56">
        <f t="shared" si="30"/>
        <v>46209</v>
      </c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92"/>
      <c r="AJ41" s="53"/>
      <c r="AK41" s="53"/>
      <c r="AL41" s="53"/>
      <c r="AM41" s="53"/>
      <c r="AN41" s="98"/>
      <c r="AO41" s="53"/>
      <c r="AP41" s="53"/>
      <c r="AQ41" s="53"/>
      <c r="AR41" s="104">
        <v>40</v>
      </c>
      <c r="AS41" s="53">
        <v>50</v>
      </c>
      <c r="AT41" s="53">
        <v>50</v>
      </c>
      <c r="AU41" s="53">
        <v>50</v>
      </c>
      <c r="AV41" s="117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44"/>
      <c r="CG41" s="44"/>
      <c r="CH41" s="44"/>
      <c r="CI41" s="44"/>
      <c r="CJ41" s="44"/>
    </row>
    <row r="42" spans="1:88" s="18" customFormat="1" ht="15.6" x14ac:dyDescent="0.3">
      <c r="A42" s="21" t="s">
        <v>138</v>
      </c>
      <c r="B42" s="21"/>
      <c r="C42" s="22"/>
      <c r="D42" s="23"/>
      <c r="E42" s="24">
        <f>SUM(E33:E41)</f>
        <v>2470</v>
      </c>
      <c r="F42" s="25" t="e">
        <f>SUM(F33:F41)</f>
        <v>#VALUE!</v>
      </c>
      <c r="G42" s="26"/>
      <c r="H42" s="24"/>
      <c r="I42" s="25">
        <f>SUM(I33:I41)</f>
        <v>127500</v>
      </c>
      <c r="J42" s="25" t="e">
        <f>SUM(J33:J41)</f>
        <v>#VALUE!</v>
      </c>
      <c r="K42" s="138"/>
      <c r="L42" s="138"/>
      <c r="M42" s="24"/>
      <c r="N42" s="27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93"/>
      <c r="AJ42" s="24"/>
      <c r="AK42" s="24"/>
      <c r="AL42" s="24"/>
      <c r="AM42" s="24"/>
      <c r="AN42" s="99"/>
      <c r="AO42" s="24"/>
      <c r="AP42" s="24"/>
      <c r="AQ42" s="24"/>
      <c r="AR42" s="105"/>
      <c r="AS42" s="24"/>
      <c r="AT42" s="24"/>
      <c r="AU42" s="24"/>
      <c r="AV42" s="118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2"/>
      <c r="CG42" s="22"/>
      <c r="CH42" s="22"/>
      <c r="CI42" s="22"/>
      <c r="CJ42" s="1"/>
    </row>
    <row r="43" spans="1:88" s="18" customFormat="1" ht="15.6" x14ac:dyDescent="0.3">
      <c r="A43" s="21" t="s">
        <v>52</v>
      </c>
      <c r="B43" s="21"/>
      <c r="C43" s="22"/>
      <c r="D43" s="23"/>
      <c r="E43" s="24">
        <f>SUM(E42,E29)</f>
        <v>5670</v>
      </c>
      <c r="F43" s="25" t="e">
        <f>SUM(F20:F41)</f>
        <v>#VALUE!</v>
      </c>
      <c r="G43" s="26"/>
      <c r="H43" s="24"/>
      <c r="I43" s="25">
        <f>SUM(I20:I41)</f>
        <v>447500</v>
      </c>
      <c r="J43" s="25" t="e">
        <f>SUM(J20:J41)</f>
        <v>#VALUE!</v>
      </c>
      <c r="K43" s="138"/>
      <c r="L43" s="138"/>
      <c r="M43" s="24"/>
      <c r="N43" s="27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93"/>
      <c r="AJ43" s="24"/>
      <c r="AK43" s="24"/>
      <c r="AL43" s="24"/>
      <c r="AM43" s="24"/>
      <c r="AN43" s="99"/>
      <c r="AO43" s="24"/>
      <c r="AP43" s="24"/>
      <c r="AQ43" s="24"/>
      <c r="AR43" s="105"/>
      <c r="AS43" s="24"/>
      <c r="AT43" s="24"/>
      <c r="AU43" s="24"/>
      <c r="AV43" s="118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2"/>
      <c r="CG43" s="22"/>
      <c r="CH43" s="22"/>
      <c r="CI43" s="22"/>
      <c r="CJ43" s="1"/>
    </row>
    <row r="44" spans="1:88" x14ac:dyDescent="0.3">
      <c r="B44" s="7"/>
      <c r="D44" s="12"/>
      <c r="F44" s="15"/>
      <c r="G44" s="13"/>
      <c r="I44" s="15"/>
      <c r="J44" s="15"/>
      <c r="K44" s="135"/>
      <c r="L44" s="135"/>
      <c r="N44" s="10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92"/>
      <c r="AJ44" s="16"/>
      <c r="AK44" s="16"/>
      <c r="AL44" s="16"/>
      <c r="AM44" s="16"/>
      <c r="AN44" s="98"/>
      <c r="AO44" s="16"/>
      <c r="AP44" s="16"/>
      <c r="AQ44" s="16"/>
      <c r="AR44" s="104"/>
      <c r="AS44" s="16"/>
      <c r="AT44" s="16"/>
      <c r="AU44" s="16"/>
      <c r="AV44" s="117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</row>
    <row r="45" spans="1:88" x14ac:dyDescent="0.3">
      <c r="B45" s="86" t="s">
        <v>38</v>
      </c>
      <c r="D45" s="12"/>
      <c r="F45" s="15"/>
      <c r="G45" s="13"/>
      <c r="I45" s="15"/>
      <c r="J45" s="15"/>
      <c r="K45" s="135"/>
      <c r="L45" s="135" t="str" cm="1">
        <f t="array" ref="L45">IFERROR(INDEX($O$6:$CI$6,_xlfn.XMATCH(1,(O45:CI45&lt;&gt;"")*1,,-1))-1,"")</f>
        <v/>
      </c>
      <c r="N45" s="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92"/>
      <c r="AJ45" s="16"/>
      <c r="AK45" s="16"/>
      <c r="AL45" s="16"/>
      <c r="AM45" s="16"/>
      <c r="AN45" s="98"/>
      <c r="AO45" s="16"/>
      <c r="AP45" s="16"/>
      <c r="AQ45" s="16"/>
      <c r="AR45" s="104"/>
      <c r="AS45" s="16"/>
      <c r="AT45" s="16"/>
      <c r="AU45" s="16"/>
      <c r="AV45" s="117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</row>
    <row r="46" spans="1:88" x14ac:dyDescent="0.3">
      <c r="B46" s="70" t="s">
        <v>53</v>
      </c>
      <c r="C46" s="71" t="s">
        <v>16</v>
      </c>
      <c r="D46" s="72">
        <f t="shared" ref="D46:D51" si="31">VLOOKUP(B46,Rate_Table,2,0)</f>
        <v>0</v>
      </c>
      <c r="E46" s="73">
        <f t="shared" ref="E46:E51" si="32">SUM(O46:CI46)</f>
        <v>1730</v>
      </c>
      <c r="F46" s="74">
        <f t="shared" ref="F46:F51" si="33">E46*D46</f>
        <v>0</v>
      </c>
      <c r="G46" s="75">
        <v>2500</v>
      </c>
      <c r="H46" s="73">
        <f>INT(COUNT(O46:CI46)*1)</f>
        <v>35</v>
      </c>
      <c r="I46" s="74">
        <f t="shared" ref="I46:I51" si="34">H46*G46</f>
        <v>87500</v>
      </c>
      <c r="J46" s="74">
        <f t="shared" ref="J46:J51" si="35">SUM(F46,I46)</f>
        <v>87500</v>
      </c>
      <c r="K46" s="141" cm="1">
        <f t="array" ref="K46">IFERROR(INDEX($O$6:$EM$6,MATCH(TRUE,O46:EM46&lt;&gt;"",0)),"")</f>
        <v>46033</v>
      </c>
      <c r="L46" s="141" cm="1">
        <f t="array" ref="L46">IFERROR(INDEX($O$6:$CI$6,_xlfn.XMATCH(1,(O46:CI46&lt;&gt;"")*1,,-1))-1,"")</f>
        <v>46270</v>
      </c>
      <c r="M46" s="73">
        <f t="shared" ref="M46:M51" si="36">COUNTA(O46:EM46)</f>
        <v>35</v>
      </c>
      <c r="N46" s="76">
        <f>IFERROR(K46+1,"")</f>
        <v>46034</v>
      </c>
      <c r="O46" s="73"/>
      <c r="P46" s="73"/>
      <c r="Q46" s="73"/>
      <c r="R46" s="73"/>
      <c r="S46" s="73">
        <v>50</v>
      </c>
      <c r="T46" s="73">
        <v>50</v>
      </c>
      <c r="U46" s="73">
        <v>50</v>
      </c>
      <c r="V46" s="73">
        <v>50</v>
      </c>
      <c r="W46" s="73">
        <v>50</v>
      </c>
      <c r="X46" s="73">
        <v>50</v>
      </c>
      <c r="Y46" s="73">
        <v>50</v>
      </c>
      <c r="Z46" s="73">
        <v>50</v>
      </c>
      <c r="AA46" s="73">
        <v>50</v>
      </c>
      <c r="AB46" s="73">
        <v>50</v>
      </c>
      <c r="AC46" s="73">
        <v>50</v>
      </c>
      <c r="AD46" s="73">
        <v>50</v>
      </c>
      <c r="AE46" s="73">
        <v>50</v>
      </c>
      <c r="AF46" s="73">
        <v>50</v>
      </c>
      <c r="AG46" s="73">
        <v>50</v>
      </c>
      <c r="AH46" s="73">
        <v>50</v>
      </c>
      <c r="AI46" s="94">
        <v>40</v>
      </c>
      <c r="AJ46" s="73">
        <v>50</v>
      </c>
      <c r="AK46" s="73">
        <v>50</v>
      </c>
      <c r="AL46" s="73">
        <v>50</v>
      </c>
      <c r="AM46" s="73">
        <v>50</v>
      </c>
      <c r="AN46" s="100">
        <v>50</v>
      </c>
      <c r="AO46" s="73">
        <v>50</v>
      </c>
      <c r="AP46" s="73">
        <v>50</v>
      </c>
      <c r="AQ46" s="73">
        <v>50</v>
      </c>
      <c r="AR46" s="106">
        <v>40</v>
      </c>
      <c r="AS46" s="73">
        <v>50</v>
      </c>
      <c r="AT46" s="73">
        <v>50</v>
      </c>
      <c r="AU46" s="73">
        <v>50</v>
      </c>
      <c r="AV46" s="119">
        <v>50</v>
      </c>
      <c r="AW46" s="73">
        <v>50</v>
      </c>
      <c r="AX46" s="73">
        <v>50</v>
      </c>
      <c r="AY46" s="73">
        <v>50</v>
      </c>
      <c r="AZ46" s="73">
        <v>50</v>
      </c>
      <c r="BA46" s="73">
        <v>50</v>
      </c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1"/>
      <c r="CG46" s="71"/>
      <c r="CH46" s="71"/>
      <c r="CI46" s="71"/>
      <c r="CJ46" s="71"/>
    </row>
    <row r="47" spans="1:88" x14ac:dyDescent="0.3">
      <c r="B47" s="57" t="s">
        <v>17</v>
      </c>
      <c r="C47" s="58" t="s">
        <v>16</v>
      </c>
      <c r="D47" s="59" t="str">
        <f t="shared" si="31"/>
        <v>Tyler Dunlap</v>
      </c>
      <c r="E47" s="60">
        <f t="shared" si="32"/>
        <v>0</v>
      </c>
      <c r="F47" s="61" t="e">
        <f t="shared" si="33"/>
        <v>#VALUE!</v>
      </c>
      <c r="G47" s="62">
        <v>2500</v>
      </c>
      <c r="H47" s="60">
        <f t="shared" ref="H47:H51" si="37">INT(COUNT(O47:CI47)*1)</f>
        <v>0</v>
      </c>
      <c r="I47" s="61">
        <f t="shared" si="34"/>
        <v>0</v>
      </c>
      <c r="J47" s="61" t="e">
        <f t="shared" si="35"/>
        <v>#VALUE!</v>
      </c>
      <c r="K47" s="139" t="str" cm="1">
        <f t="array" ref="K47">IFERROR(INDEX($O$6:$EM$6,MATCH(TRUE,O47:EM47&lt;&gt;"",0)),"")</f>
        <v/>
      </c>
      <c r="L47" s="139" t="str" cm="1">
        <f t="array" ref="L47">IFERROR(INDEX($O$6:$CI$6,_xlfn.XMATCH(1,(O47:CI47&lt;&gt;"")*1,,-1))-1,"")</f>
        <v/>
      </c>
      <c r="M47" s="60">
        <f t="shared" si="36"/>
        <v>0</v>
      </c>
      <c r="N47" s="63" t="str">
        <f t="shared" ref="N47" si="38">IFERROR(K47+1,"")</f>
        <v/>
      </c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92"/>
      <c r="AJ47" s="60"/>
      <c r="AK47" s="60"/>
      <c r="AL47" s="60"/>
      <c r="AM47" s="60"/>
      <c r="AN47" s="98"/>
      <c r="AO47" s="60"/>
      <c r="AP47" s="60"/>
      <c r="AQ47" s="60"/>
      <c r="AR47" s="104"/>
      <c r="AS47" s="60"/>
      <c r="AT47" s="60"/>
      <c r="AU47" s="60"/>
      <c r="AV47" s="117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58"/>
      <c r="CG47" s="58"/>
      <c r="CH47" s="58"/>
      <c r="CI47" s="58"/>
      <c r="CJ47" s="58"/>
    </row>
    <row r="48" spans="1:88" x14ac:dyDescent="0.3">
      <c r="B48" s="57" t="s">
        <v>20</v>
      </c>
      <c r="C48" s="58" t="s">
        <v>16</v>
      </c>
      <c r="D48" s="59" t="str">
        <f t="shared" si="31"/>
        <v>Carter Corey</v>
      </c>
      <c r="E48" s="60">
        <f t="shared" si="32"/>
        <v>1380</v>
      </c>
      <c r="F48" s="61" t="e">
        <f t="shared" si="33"/>
        <v>#VALUE!</v>
      </c>
      <c r="G48" s="62">
        <v>2500</v>
      </c>
      <c r="H48" s="60">
        <f t="shared" si="37"/>
        <v>28</v>
      </c>
      <c r="I48" s="61">
        <f t="shared" si="34"/>
        <v>70000</v>
      </c>
      <c r="J48" s="61" t="e">
        <f t="shared" si="35"/>
        <v>#VALUE!</v>
      </c>
      <c r="K48" s="139" cm="1">
        <f t="array" ref="K48">IFERROR(INDEX($O$6:$EM$6,MATCH(TRUE,O48:EM48&lt;&gt;"",0)),"")</f>
        <v>46033</v>
      </c>
      <c r="L48" s="139" cm="1">
        <f t="array" ref="L48">IFERROR(INDEX($O$6:$CI$6,_xlfn.XMATCH(1,(O48:CI48&lt;&gt;"")*1,,-1))-1,"")</f>
        <v>46221</v>
      </c>
      <c r="M48" s="60">
        <f t="shared" si="36"/>
        <v>28</v>
      </c>
      <c r="N48" s="63">
        <f t="shared" ref="N48:N51" si="39">IFERROR(K48+1,"")</f>
        <v>46034</v>
      </c>
      <c r="O48" s="60"/>
      <c r="P48" s="60"/>
      <c r="Q48" s="60"/>
      <c r="R48" s="60"/>
      <c r="S48" s="60">
        <v>50</v>
      </c>
      <c r="T48" s="60">
        <v>50</v>
      </c>
      <c r="U48" s="60">
        <v>50</v>
      </c>
      <c r="V48" s="60">
        <v>50</v>
      </c>
      <c r="W48" s="60">
        <v>50</v>
      </c>
      <c r="X48" s="60">
        <v>50</v>
      </c>
      <c r="Y48" s="60">
        <v>50</v>
      </c>
      <c r="Z48" s="60">
        <v>50</v>
      </c>
      <c r="AA48" s="60">
        <v>50</v>
      </c>
      <c r="AB48" s="60">
        <v>50</v>
      </c>
      <c r="AC48" s="60">
        <v>50</v>
      </c>
      <c r="AD48" s="60">
        <v>50</v>
      </c>
      <c r="AE48" s="60">
        <v>50</v>
      </c>
      <c r="AF48" s="60">
        <v>50</v>
      </c>
      <c r="AG48" s="60">
        <v>50</v>
      </c>
      <c r="AH48" s="60">
        <v>50</v>
      </c>
      <c r="AI48" s="92">
        <v>40</v>
      </c>
      <c r="AJ48" s="60">
        <v>50</v>
      </c>
      <c r="AK48" s="60">
        <v>50</v>
      </c>
      <c r="AL48" s="60">
        <v>50</v>
      </c>
      <c r="AM48" s="60">
        <v>50</v>
      </c>
      <c r="AN48" s="98">
        <v>50</v>
      </c>
      <c r="AO48" s="60">
        <v>50</v>
      </c>
      <c r="AP48" s="60">
        <v>50</v>
      </c>
      <c r="AQ48" s="60">
        <v>50</v>
      </c>
      <c r="AR48" s="104">
        <v>40</v>
      </c>
      <c r="AS48" s="60">
        <v>50</v>
      </c>
      <c r="AT48" s="60">
        <v>50</v>
      </c>
      <c r="AU48" s="60"/>
      <c r="AV48" s="117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58"/>
      <c r="CG48" s="58"/>
      <c r="CH48" s="58"/>
      <c r="CI48" s="58"/>
      <c r="CJ48" s="58"/>
    </row>
    <row r="49" spans="2:88" x14ac:dyDescent="0.3">
      <c r="B49" s="57" t="s">
        <v>42</v>
      </c>
      <c r="C49" s="58" t="s">
        <v>16</v>
      </c>
      <c r="D49" s="59" t="str">
        <f t="shared" si="31"/>
        <v>Kaenon Stockglausner</v>
      </c>
      <c r="E49" s="60">
        <f t="shared" si="32"/>
        <v>1680</v>
      </c>
      <c r="F49" s="61" t="e">
        <f t="shared" si="33"/>
        <v>#VALUE!</v>
      </c>
      <c r="G49" s="62">
        <v>2500</v>
      </c>
      <c r="H49" s="60">
        <f t="shared" si="37"/>
        <v>34</v>
      </c>
      <c r="I49" s="61">
        <f t="shared" si="34"/>
        <v>85000</v>
      </c>
      <c r="J49" s="61" t="e">
        <f t="shared" si="35"/>
        <v>#VALUE!</v>
      </c>
      <c r="K49" s="139" cm="1">
        <f t="array" ref="K49">IFERROR(INDEX($O$6:$EM$6,MATCH(TRUE,O49:EM49&lt;&gt;"",0)),"")</f>
        <v>46033</v>
      </c>
      <c r="L49" s="139" cm="1">
        <f t="array" ref="L49">IFERROR(INDEX($O$6:$CI$6,_xlfn.XMATCH(1,(O49:CI49&lt;&gt;"")*1,,-1))-1,"")</f>
        <v>46263</v>
      </c>
      <c r="M49" s="60">
        <f t="shared" si="36"/>
        <v>34</v>
      </c>
      <c r="N49" s="63">
        <f t="shared" ref="N49" si="40">IFERROR(K49+1,"")</f>
        <v>46034</v>
      </c>
      <c r="O49" s="60"/>
      <c r="P49" s="60"/>
      <c r="Q49" s="60"/>
      <c r="R49" s="60"/>
      <c r="S49" s="60">
        <v>50</v>
      </c>
      <c r="T49" s="60">
        <v>50</v>
      </c>
      <c r="U49" s="60">
        <v>50</v>
      </c>
      <c r="V49" s="60">
        <v>50</v>
      </c>
      <c r="W49" s="60">
        <v>50</v>
      </c>
      <c r="X49" s="60">
        <v>50</v>
      </c>
      <c r="Y49" s="60">
        <v>50</v>
      </c>
      <c r="Z49" s="60">
        <v>50</v>
      </c>
      <c r="AA49" s="60">
        <v>50</v>
      </c>
      <c r="AB49" s="60">
        <v>50</v>
      </c>
      <c r="AC49" s="60">
        <v>50</v>
      </c>
      <c r="AD49" s="60">
        <v>50</v>
      </c>
      <c r="AE49" s="60">
        <v>50</v>
      </c>
      <c r="AF49" s="60">
        <v>50</v>
      </c>
      <c r="AG49" s="60">
        <v>50</v>
      </c>
      <c r="AH49" s="60">
        <v>50</v>
      </c>
      <c r="AI49" s="92">
        <v>40</v>
      </c>
      <c r="AJ49" s="60">
        <v>50</v>
      </c>
      <c r="AK49" s="60">
        <v>50</v>
      </c>
      <c r="AL49" s="60">
        <v>50</v>
      </c>
      <c r="AM49" s="60">
        <v>50</v>
      </c>
      <c r="AN49" s="98">
        <v>50</v>
      </c>
      <c r="AO49" s="60">
        <v>50</v>
      </c>
      <c r="AP49" s="60">
        <v>50</v>
      </c>
      <c r="AQ49" s="60">
        <v>50</v>
      </c>
      <c r="AR49" s="104">
        <v>40</v>
      </c>
      <c r="AS49" s="60">
        <v>50</v>
      </c>
      <c r="AT49" s="60">
        <v>50</v>
      </c>
      <c r="AU49" s="60">
        <v>50</v>
      </c>
      <c r="AV49" s="117">
        <v>50</v>
      </c>
      <c r="AW49" s="60">
        <v>50</v>
      </c>
      <c r="AX49" s="60">
        <v>50</v>
      </c>
      <c r="AY49" s="60">
        <v>50</v>
      </c>
      <c r="AZ49" s="60">
        <v>50</v>
      </c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58"/>
      <c r="CG49" s="58"/>
      <c r="CH49" s="58"/>
      <c r="CI49" s="58"/>
      <c r="CJ49" s="58"/>
    </row>
    <row r="50" spans="2:88" x14ac:dyDescent="0.3">
      <c r="B50" s="57" t="s">
        <v>43</v>
      </c>
      <c r="C50" s="58" t="s">
        <v>16</v>
      </c>
      <c r="D50" s="59">
        <f t="shared" si="31"/>
        <v>0</v>
      </c>
      <c r="E50" s="60">
        <f t="shared" si="32"/>
        <v>1680</v>
      </c>
      <c r="F50" s="61">
        <f t="shared" si="33"/>
        <v>0</v>
      </c>
      <c r="G50" s="62">
        <v>2500</v>
      </c>
      <c r="H50" s="60">
        <f t="shared" si="37"/>
        <v>34</v>
      </c>
      <c r="I50" s="61">
        <f t="shared" si="34"/>
        <v>85000</v>
      </c>
      <c r="J50" s="61">
        <f t="shared" si="35"/>
        <v>85000</v>
      </c>
      <c r="K50" s="139" cm="1">
        <f t="array" ref="K50">IFERROR(INDEX($O$6:$EM$6,MATCH(TRUE,O50:EM50&lt;&gt;"",0)),"")</f>
        <v>46033</v>
      </c>
      <c r="L50" s="139" cm="1">
        <f t="array" ref="L50">IFERROR(INDEX($O$6:$CI$6,_xlfn.XMATCH(1,(O50:CI50&lt;&gt;"")*1,,-1))-1,"")</f>
        <v>46263</v>
      </c>
      <c r="M50" s="60">
        <f t="shared" si="36"/>
        <v>34</v>
      </c>
      <c r="N50" s="63">
        <f t="shared" si="39"/>
        <v>46034</v>
      </c>
      <c r="O50" s="60"/>
      <c r="P50" s="60"/>
      <c r="Q50" s="60"/>
      <c r="R50" s="60"/>
      <c r="S50" s="60">
        <v>50</v>
      </c>
      <c r="T50" s="60">
        <v>50</v>
      </c>
      <c r="U50" s="60">
        <v>50</v>
      </c>
      <c r="V50" s="60">
        <v>50</v>
      </c>
      <c r="W50" s="60">
        <v>50</v>
      </c>
      <c r="X50" s="60">
        <v>50</v>
      </c>
      <c r="Y50" s="60">
        <v>50</v>
      </c>
      <c r="Z50" s="60">
        <v>50</v>
      </c>
      <c r="AA50" s="60">
        <v>50</v>
      </c>
      <c r="AB50" s="60">
        <v>50</v>
      </c>
      <c r="AC50" s="60">
        <v>50</v>
      </c>
      <c r="AD50" s="60">
        <v>50</v>
      </c>
      <c r="AE50" s="60">
        <v>50</v>
      </c>
      <c r="AF50" s="60">
        <v>50</v>
      </c>
      <c r="AG50" s="60">
        <v>50</v>
      </c>
      <c r="AH50" s="60">
        <v>50</v>
      </c>
      <c r="AI50" s="92">
        <v>40</v>
      </c>
      <c r="AJ50" s="60">
        <v>50</v>
      </c>
      <c r="AK50" s="60">
        <v>50</v>
      </c>
      <c r="AL50" s="60">
        <v>50</v>
      </c>
      <c r="AM50" s="60">
        <v>50</v>
      </c>
      <c r="AN50" s="98">
        <v>50</v>
      </c>
      <c r="AO50" s="60">
        <v>50</v>
      </c>
      <c r="AP50" s="60">
        <v>50</v>
      </c>
      <c r="AQ50" s="60">
        <v>50</v>
      </c>
      <c r="AR50" s="104">
        <v>40</v>
      </c>
      <c r="AS50" s="60">
        <v>50</v>
      </c>
      <c r="AT50" s="60">
        <v>50</v>
      </c>
      <c r="AU50" s="60">
        <v>50</v>
      </c>
      <c r="AV50" s="117">
        <v>50</v>
      </c>
      <c r="AW50" s="60">
        <v>50</v>
      </c>
      <c r="AX50" s="60">
        <v>50</v>
      </c>
      <c r="AY50" s="60">
        <v>50</v>
      </c>
      <c r="AZ50" s="60">
        <v>50</v>
      </c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58"/>
      <c r="CG50" s="58"/>
      <c r="CH50" s="58"/>
      <c r="CI50" s="58"/>
      <c r="CJ50" s="58"/>
    </row>
    <row r="51" spans="2:88" x14ac:dyDescent="0.3">
      <c r="B51" s="57" t="s">
        <v>22</v>
      </c>
      <c r="C51" s="58" t="s">
        <v>16</v>
      </c>
      <c r="D51" s="59" t="str">
        <f t="shared" si="31"/>
        <v>Kedric Benford</v>
      </c>
      <c r="E51" s="60">
        <f t="shared" si="32"/>
        <v>0</v>
      </c>
      <c r="F51" s="61" t="e">
        <f t="shared" si="33"/>
        <v>#VALUE!</v>
      </c>
      <c r="G51" s="62">
        <v>2500</v>
      </c>
      <c r="H51" s="60">
        <f t="shared" si="37"/>
        <v>0</v>
      </c>
      <c r="I51" s="61">
        <f t="shared" si="34"/>
        <v>0</v>
      </c>
      <c r="J51" s="61" t="e">
        <f t="shared" si="35"/>
        <v>#VALUE!</v>
      </c>
      <c r="K51" s="139" t="str" cm="1">
        <f t="array" ref="K51">IFERROR(INDEX($O$6:$EM$6,MATCH(TRUE,O51:EM51&lt;&gt;"",0)),"")</f>
        <v/>
      </c>
      <c r="L51" s="139" t="str" cm="1">
        <f t="array" ref="L51">IFERROR(INDEX($O$6:$CI$6,_xlfn.XMATCH(1,(O51:CI51&lt;&gt;"")*1,,-1))-1,"")</f>
        <v/>
      </c>
      <c r="M51" s="60">
        <f t="shared" si="36"/>
        <v>0</v>
      </c>
      <c r="N51" s="63" t="str">
        <f t="shared" si="39"/>
        <v/>
      </c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92"/>
      <c r="AJ51" s="60"/>
      <c r="AK51" s="60"/>
      <c r="AL51" s="60"/>
      <c r="AM51" s="60"/>
      <c r="AN51" s="98"/>
      <c r="AO51" s="60"/>
      <c r="AP51" s="60"/>
      <c r="AQ51" s="60"/>
      <c r="AR51" s="104"/>
      <c r="AS51" s="60"/>
      <c r="AT51" s="60"/>
      <c r="AU51" s="60"/>
      <c r="AV51" s="117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58"/>
      <c r="CG51" s="58"/>
      <c r="CH51" s="58"/>
      <c r="CI51" s="58"/>
      <c r="CJ51" s="58"/>
    </row>
    <row r="52" spans="2:88" x14ac:dyDescent="0.3">
      <c r="AI52" s="91"/>
      <c r="AN52" s="97"/>
      <c r="AR52" s="103"/>
      <c r="AV52" s="116"/>
    </row>
    <row r="53" spans="2:88" x14ac:dyDescent="0.3">
      <c r="B53" s="87" t="s">
        <v>40</v>
      </c>
      <c r="C53" s="79"/>
      <c r="D53" s="80"/>
      <c r="E53" s="81"/>
      <c r="F53" s="82"/>
      <c r="G53" s="83"/>
      <c r="H53" s="81"/>
      <c r="I53" s="82"/>
      <c r="J53" s="82"/>
      <c r="K53" s="142"/>
      <c r="L53" s="142"/>
      <c r="M53" s="81"/>
      <c r="N53" s="84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94"/>
      <c r="AJ53" s="81"/>
      <c r="AK53" s="81"/>
      <c r="AL53" s="81"/>
      <c r="AM53" s="81"/>
      <c r="AN53" s="100"/>
      <c r="AO53" s="81"/>
      <c r="AP53" s="81"/>
      <c r="AQ53" s="81"/>
      <c r="AR53" s="106"/>
      <c r="AS53" s="81"/>
      <c r="AT53" s="81"/>
      <c r="AU53" s="81"/>
      <c r="AV53" s="119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79"/>
      <c r="CG53" s="79"/>
      <c r="CH53" s="79"/>
      <c r="CI53" s="79"/>
      <c r="CJ53" s="79" t="s">
        <v>144</v>
      </c>
    </row>
    <row r="54" spans="2:88" x14ac:dyDescent="0.3">
      <c r="B54" s="70" t="s">
        <v>57</v>
      </c>
      <c r="C54" s="71" t="s">
        <v>16</v>
      </c>
      <c r="D54" s="72" t="str">
        <f t="shared" ref="D54:D64" si="41">VLOOKUP(B54,Rate_Table,2,0)</f>
        <v>Mark Mader</v>
      </c>
      <c r="E54" s="73">
        <f>SUM(O54:CI54)</f>
        <v>2060</v>
      </c>
      <c r="F54" s="74" t="e">
        <f>E54*D54</f>
        <v>#VALUE!</v>
      </c>
      <c r="G54" s="75">
        <v>2500</v>
      </c>
      <c r="H54" s="73">
        <f t="shared" ref="H54:H62" si="42">INT(COUNT(O54:CI54)*1)</f>
        <v>42</v>
      </c>
      <c r="I54" s="74">
        <f>H54*G54</f>
        <v>105000</v>
      </c>
      <c r="J54" s="74" t="e">
        <f>SUM(F54,I54)</f>
        <v>#VALUE!</v>
      </c>
      <c r="K54" s="141" cm="1">
        <f t="array" ref="K54">IFERROR(INDEX($O$6:$EM$6,MATCH(TRUE,O54:EM54&lt;&gt;"",0)),"")</f>
        <v>46082</v>
      </c>
      <c r="L54" s="141" cm="1">
        <f t="array" ref="L54">IFERROR(INDEX($O$6:$CI$6,_xlfn.XMATCH(1,(O54:CI54&lt;&gt;"")*1,,-1))-1,"")</f>
        <v>46368</v>
      </c>
      <c r="M54" s="73">
        <f>COUNTA(O54:EM54)</f>
        <v>42</v>
      </c>
      <c r="N54" s="76">
        <f>IFERROR(K54+1,"")</f>
        <v>46083</v>
      </c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>
        <v>50</v>
      </c>
      <c r="AA54" s="73">
        <v>50</v>
      </c>
      <c r="AB54" s="73">
        <v>50</v>
      </c>
      <c r="AC54" s="73">
        <v>50</v>
      </c>
      <c r="AD54" s="73">
        <v>50</v>
      </c>
      <c r="AE54" s="73">
        <v>50</v>
      </c>
      <c r="AF54" s="73">
        <v>50</v>
      </c>
      <c r="AG54" s="73">
        <v>50</v>
      </c>
      <c r="AH54" s="73">
        <v>50</v>
      </c>
      <c r="AI54" s="94">
        <v>40</v>
      </c>
      <c r="AJ54" s="73">
        <v>50</v>
      </c>
      <c r="AK54" s="73">
        <v>50</v>
      </c>
      <c r="AL54" s="73">
        <v>50</v>
      </c>
      <c r="AM54" s="73">
        <v>50</v>
      </c>
      <c r="AN54" s="100">
        <v>50</v>
      </c>
      <c r="AO54" s="73">
        <v>50</v>
      </c>
      <c r="AP54" s="73">
        <v>50</v>
      </c>
      <c r="AQ54" s="73">
        <v>50</v>
      </c>
      <c r="AR54" s="106">
        <v>40</v>
      </c>
      <c r="AS54" s="73">
        <v>50</v>
      </c>
      <c r="AT54" s="73">
        <v>50</v>
      </c>
      <c r="AU54" s="73">
        <v>50</v>
      </c>
      <c r="AV54" s="119">
        <v>50</v>
      </c>
      <c r="AW54" s="73">
        <v>50</v>
      </c>
      <c r="AX54" s="73">
        <v>50</v>
      </c>
      <c r="AY54" s="73">
        <v>50</v>
      </c>
      <c r="AZ54" s="73">
        <v>50</v>
      </c>
      <c r="BA54" s="73">
        <v>50</v>
      </c>
      <c r="BB54" s="73">
        <v>50</v>
      </c>
      <c r="BC54" s="73">
        <v>50</v>
      </c>
      <c r="BD54" s="73">
        <v>50</v>
      </c>
      <c r="BE54" s="73">
        <v>50</v>
      </c>
      <c r="BF54" s="73">
        <v>50</v>
      </c>
      <c r="BG54" s="73">
        <v>50</v>
      </c>
      <c r="BH54" s="73">
        <v>50</v>
      </c>
      <c r="BI54" s="73">
        <v>50</v>
      </c>
      <c r="BJ54" s="73">
        <v>50</v>
      </c>
      <c r="BK54" s="73">
        <v>50</v>
      </c>
      <c r="BL54" s="73">
        <v>50</v>
      </c>
      <c r="BM54" s="73">
        <v>30</v>
      </c>
      <c r="BN54" s="73">
        <v>50</v>
      </c>
      <c r="BO54" s="73">
        <v>50</v>
      </c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1"/>
      <c r="CG54" s="71"/>
      <c r="CH54" s="71"/>
      <c r="CI54" s="71"/>
      <c r="CJ54" s="71"/>
    </row>
    <row r="55" spans="2:88" x14ac:dyDescent="0.3">
      <c r="B55" s="70" t="s">
        <v>55</v>
      </c>
      <c r="C55" s="71" t="s">
        <v>16</v>
      </c>
      <c r="D55" s="72" t="str">
        <f t="shared" si="41"/>
        <v>Tyler Roady</v>
      </c>
      <c r="E55" s="73">
        <f t="shared" si="6"/>
        <v>0</v>
      </c>
      <c r="F55" s="74" t="e">
        <f t="shared" si="7"/>
        <v>#VALUE!</v>
      </c>
      <c r="G55" s="75">
        <v>2500</v>
      </c>
      <c r="H55" s="73">
        <f t="shared" si="42"/>
        <v>0</v>
      </c>
      <c r="I55" s="74">
        <f t="shared" si="8"/>
        <v>0</v>
      </c>
      <c r="J55" s="74" t="e">
        <f t="shared" si="9"/>
        <v>#VALUE!</v>
      </c>
      <c r="K55" s="141" t="str" cm="1">
        <f t="array" ref="K55">IFERROR(INDEX($O$6:$EM$6,MATCH(TRUE,O55:EM55&lt;&gt;"",0)),"")</f>
        <v/>
      </c>
      <c r="L55" s="141" t="str" cm="1">
        <f t="array" ref="L55">IFERROR(INDEX($O$6:$CI$6,_xlfn.XMATCH(1,(O55:CI55&lt;&gt;"")*1,,-1))-1,"")</f>
        <v/>
      </c>
      <c r="M55" s="73">
        <f t="shared" si="10"/>
        <v>0</v>
      </c>
      <c r="N55" s="76" t="str">
        <f t="shared" ref="N55:N62" si="43">IFERROR(K55+1,"")</f>
        <v/>
      </c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94"/>
      <c r="AJ55" s="73"/>
      <c r="AK55" s="73"/>
      <c r="AL55" s="73"/>
      <c r="AM55" s="73"/>
      <c r="AN55" s="100"/>
      <c r="AO55" s="73"/>
      <c r="AP55" s="73"/>
      <c r="AQ55" s="73"/>
      <c r="AR55" s="106"/>
      <c r="AS55" s="73"/>
      <c r="AT55" s="73"/>
      <c r="AU55" s="73"/>
      <c r="AV55" s="119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1"/>
      <c r="CG55" s="71"/>
      <c r="CH55" s="71"/>
      <c r="CI55" s="71"/>
      <c r="CJ55" s="71"/>
    </row>
    <row r="56" spans="2:88" x14ac:dyDescent="0.3">
      <c r="B56" s="70" t="s">
        <v>59</v>
      </c>
      <c r="C56" s="71" t="s">
        <v>16</v>
      </c>
      <c r="D56" s="72" t="str">
        <f t="shared" si="41"/>
        <v>Kevin Duong</v>
      </c>
      <c r="E56" s="73">
        <f t="shared" si="6"/>
        <v>0</v>
      </c>
      <c r="F56" s="74" t="e">
        <f t="shared" si="7"/>
        <v>#VALUE!</v>
      </c>
      <c r="G56" s="75">
        <v>2500</v>
      </c>
      <c r="H56" s="73">
        <f t="shared" si="42"/>
        <v>0</v>
      </c>
      <c r="I56" s="74">
        <f t="shared" si="8"/>
        <v>0</v>
      </c>
      <c r="J56" s="74" t="e">
        <f t="shared" si="9"/>
        <v>#VALUE!</v>
      </c>
      <c r="K56" s="141" t="str" cm="1">
        <f t="array" ref="K56">IFERROR(INDEX($O$6:$EM$6,MATCH(TRUE,O56:EM56&lt;&gt;"",0)),"")</f>
        <v/>
      </c>
      <c r="L56" s="141" t="str" cm="1">
        <f t="array" ref="L56">IFERROR(INDEX($O$6:$CI$6,_xlfn.XMATCH(1,(O56:CI56&lt;&gt;"")*1,,-1))-1,"")</f>
        <v/>
      </c>
      <c r="M56" s="73">
        <f t="shared" si="10"/>
        <v>0</v>
      </c>
      <c r="N56" s="76" t="str">
        <f t="shared" si="43"/>
        <v/>
      </c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94"/>
      <c r="AJ56" s="73"/>
      <c r="AK56" s="73"/>
      <c r="AL56" s="73"/>
      <c r="AM56" s="73"/>
      <c r="AN56" s="100"/>
      <c r="AO56" s="73"/>
      <c r="AP56" s="73"/>
      <c r="AQ56" s="73"/>
      <c r="AR56" s="106"/>
      <c r="AS56" s="73"/>
      <c r="AT56" s="73"/>
      <c r="AU56" s="73"/>
      <c r="AV56" s="119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1"/>
      <c r="CG56" s="71"/>
      <c r="CH56" s="71"/>
      <c r="CI56" s="71"/>
      <c r="CJ56" s="71"/>
    </row>
    <row r="57" spans="2:88" x14ac:dyDescent="0.3">
      <c r="B57" s="57" t="s">
        <v>19</v>
      </c>
      <c r="C57" s="58" t="s">
        <v>16</v>
      </c>
      <c r="D57" s="59" t="str">
        <f t="shared" si="41"/>
        <v>Muhammed Kurt</v>
      </c>
      <c r="E57" s="60">
        <f>SUM(O57:CI57)</f>
        <v>0</v>
      </c>
      <c r="F57" s="61" t="e">
        <f>E57*D57</f>
        <v>#VALUE!</v>
      </c>
      <c r="G57" s="62">
        <v>2500</v>
      </c>
      <c r="H57" s="60">
        <f>INT(COUNT(O57:CI57)*1)</f>
        <v>0</v>
      </c>
      <c r="I57" s="61">
        <f>H57*G57</f>
        <v>0</v>
      </c>
      <c r="J57" s="61" t="e">
        <f>SUM(F57,I57)</f>
        <v>#VALUE!</v>
      </c>
      <c r="K57" s="139" cm="1">
        <f t="array" ref="K57">IFERROR(INDEX($O$6:$EM$6,MATCH(TRUE,O57:EM57&lt;&gt;"",0)),"")</f>
        <v>0</v>
      </c>
      <c r="L57" s="139" t="str" cm="1">
        <f t="array" ref="L57">IFERROR(INDEX($O$6:$CI$6,_xlfn.XMATCH(1,(O57:CI57&lt;&gt;"")*1,,-1))-1,"")</f>
        <v/>
      </c>
      <c r="M57" s="60">
        <f>COUNTA(O57:EM57)</f>
        <v>1</v>
      </c>
      <c r="N57" s="63">
        <f t="shared" ref="N57" si="44">IFERROR(K57+1,"")</f>
        <v>1</v>
      </c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92"/>
      <c r="AJ57" s="60"/>
      <c r="AK57" s="60"/>
      <c r="AL57" s="60"/>
      <c r="AM57" s="60"/>
      <c r="AN57" s="98"/>
      <c r="AO57" s="60"/>
      <c r="AP57" s="60"/>
      <c r="AQ57" s="60"/>
      <c r="AR57" s="104"/>
      <c r="AS57" s="60"/>
      <c r="AT57" s="60"/>
      <c r="AU57" s="60"/>
      <c r="AV57" s="117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58"/>
      <c r="CG57" s="58"/>
      <c r="CH57" s="58"/>
      <c r="CI57" s="58"/>
      <c r="CJ57" s="58" t="s">
        <v>144</v>
      </c>
    </row>
    <row r="58" spans="2:88" x14ac:dyDescent="0.3">
      <c r="B58" s="57" t="s">
        <v>18</v>
      </c>
      <c r="C58" s="58" t="s">
        <v>16</v>
      </c>
      <c r="D58" s="59" t="str">
        <f t="shared" si="41"/>
        <v>Zach Tucker</v>
      </c>
      <c r="E58" s="60">
        <f>SUM(O58:CI58)</f>
        <v>1330</v>
      </c>
      <c r="F58" s="61" t="e">
        <f>E58*D58</f>
        <v>#VALUE!</v>
      </c>
      <c r="G58" s="62">
        <v>2500</v>
      </c>
      <c r="H58" s="60">
        <f>INT(COUNT(O58:CI58)*1)</f>
        <v>27</v>
      </c>
      <c r="I58" s="61">
        <f>H58*G58</f>
        <v>67500</v>
      </c>
      <c r="J58" s="61" t="e">
        <f>SUM(F58,I58)</f>
        <v>#VALUE!</v>
      </c>
      <c r="K58" s="139" cm="1">
        <f t="array" ref="K58">IFERROR(INDEX($O$6:$EM$6,MATCH(TRUE,O58:EM58&lt;&gt;"",0)),"")</f>
        <v>46082</v>
      </c>
      <c r="L58" s="139" cm="1">
        <f t="array" ref="L58">IFERROR(INDEX($O$6:$CI$6,_xlfn.XMATCH(1,(O58:CI58&lt;&gt;"")*1,,-1))-1,"")</f>
        <v>46263</v>
      </c>
      <c r="M58" s="60">
        <f>COUNTA(O58:EM58)</f>
        <v>28</v>
      </c>
      <c r="N58" s="63">
        <f>IFERROR(K58+1,"")</f>
        <v>46083</v>
      </c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>
        <v>50</v>
      </c>
      <c r="AA58" s="60">
        <v>50</v>
      </c>
      <c r="AB58" s="60">
        <v>50</v>
      </c>
      <c r="AC58" s="60">
        <v>50</v>
      </c>
      <c r="AD58" s="60">
        <v>50</v>
      </c>
      <c r="AE58" s="60">
        <v>50</v>
      </c>
      <c r="AF58" s="60">
        <v>50</v>
      </c>
      <c r="AG58" s="60">
        <v>50</v>
      </c>
      <c r="AH58" s="60">
        <v>50</v>
      </c>
      <c r="AI58" s="92">
        <v>40</v>
      </c>
      <c r="AJ58" s="60">
        <v>50</v>
      </c>
      <c r="AK58" s="60">
        <v>50</v>
      </c>
      <c r="AL58" s="60">
        <v>50</v>
      </c>
      <c r="AM58" s="60">
        <v>50</v>
      </c>
      <c r="AN58" s="98">
        <v>50</v>
      </c>
      <c r="AO58" s="60">
        <v>50</v>
      </c>
      <c r="AP58" s="60">
        <v>50</v>
      </c>
      <c r="AQ58" s="60">
        <v>50</v>
      </c>
      <c r="AR58" s="104">
        <v>40</v>
      </c>
      <c r="AS58" s="60">
        <v>50</v>
      </c>
      <c r="AT58" s="60">
        <v>50</v>
      </c>
      <c r="AU58" s="60">
        <v>50</v>
      </c>
      <c r="AV58" s="117">
        <v>50</v>
      </c>
      <c r="AW58" s="60">
        <v>50</v>
      </c>
      <c r="AX58" s="60">
        <v>50</v>
      </c>
      <c r="AY58" s="60">
        <v>50</v>
      </c>
      <c r="AZ58" s="60">
        <v>50</v>
      </c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58"/>
      <c r="CG58" s="58"/>
      <c r="CH58" s="58"/>
      <c r="CI58" s="58"/>
      <c r="CJ58" s="58" t="s">
        <v>144</v>
      </c>
    </row>
    <row r="59" spans="2:88" x14ac:dyDescent="0.3">
      <c r="B59" s="70" t="s">
        <v>54</v>
      </c>
      <c r="C59" s="71" t="s">
        <v>16</v>
      </c>
      <c r="D59" s="72" t="str">
        <f t="shared" si="41"/>
        <v>Chester McFadden</v>
      </c>
      <c r="E59" s="73">
        <f>SUM(O59:CI59)</f>
        <v>2010</v>
      </c>
      <c r="F59" s="74" t="e">
        <f>E59*D59</f>
        <v>#VALUE!</v>
      </c>
      <c r="G59" s="75">
        <v>2500</v>
      </c>
      <c r="H59" s="73">
        <f>INT(COUNT(O59:CI59)*1)</f>
        <v>41</v>
      </c>
      <c r="I59" s="74">
        <f>H59*G59</f>
        <v>102500</v>
      </c>
      <c r="J59" s="74" t="e">
        <f>SUM(F59,I59)</f>
        <v>#VALUE!</v>
      </c>
      <c r="K59" s="141" cm="1">
        <f t="array" ref="K59">IFERROR(INDEX($O$6:$EM$6,MATCH(TRUE,O59:EM59&lt;&gt;"",0)),"")</f>
        <v>46082</v>
      </c>
      <c r="L59" s="141" cm="1">
        <f t="array" ref="L59">IFERROR(INDEX($O$6:$CI$6,_xlfn.XMATCH(1,(O59:CI59&lt;&gt;"")*1,,-1))-1,"")</f>
        <v>46361</v>
      </c>
      <c r="M59" s="73">
        <f>COUNTA(O59:EM59)</f>
        <v>42</v>
      </c>
      <c r="N59" s="76">
        <f>IFERROR(K59+1,"")</f>
        <v>46083</v>
      </c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>
        <v>50</v>
      </c>
      <c r="AA59" s="73">
        <v>50</v>
      </c>
      <c r="AB59" s="73">
        <v>50</v>
      </c>
      <c r="AC59" s="73">
        <v>50</v>
      </c>
      <c r="AD59" s="73">
        <v>50</v>
      </c>
      <c r="AE59" s="73">
        <v>50</v>
      </c>
      <c r="AF59" s="73">
        <v>50</v>
      </c>
      <c r="AG59" s="73">
        <v>50</v>
      </c>
      <c r="AH59" s="73">
        <v>50</v>
      </c>
      <c r="AI59" s="94">
        <v>40</v>
      </c>
      <c r="AJ59" s="73">
        <v>50</v>
      </c>
      <c r="AK59" s="73">
        <v>50</v>
      </c>
      <c r="AL59" s="73">
        <v>50</v>
      </c>
      <c r="AM59" s="73">
        <v>50</v>
      </c>
      <c r="AN59" s="100">
        <v>50</v>
      </c>
      <c r="AO59" s="73">
        <v>50</v>
      </c>
      <c r="AP59" s="73">
        <v>50</v>
      </c>
      <c r="AQ59" s="73">
        <v>50</v>
      </c>
      <c r="AR59" s="106">
        <v>40</v>
      </c>
      <c r="AS59" s="73">
        <v>50</v>
      </c>
      <c r="AT59" s="73">
        <v>50</v>
      </c>
      <c r="AU59" s="73">
        <v>50</v>
      </c>
      <c r="AV59" s="119">
        <v>50</v>
      </c>
      <c r="AW59" s="73">
        <v>50</v>
      </c>
      <c r="AX59" s="73">
        <v>50</v>
      </c>
      <c r="AY59" s="73">
        <v>50</v>
      </c>
      <c r="AZ59" s="73">
        <v>50</v>
      </c>
      <c r="BA59" s="73">
        <v>50</v>
      </c>
      <c r="BB59" s="73">
        <v>50</v>
      </c>
      <c r="BC59" s="73">
        <v>50</v>
      </c>
      <c r="BD59" s="73">
        <v>50</v>
      </c>
      <c r="BE59" s="73">
        <v>50</v>
      </c>
      <c r="BF59" s="73">
        <v>50</v>
      </c>
      <c r="BG59" s="73">
        <v>50</v>
      </c>
      <c r="BH59" s="73">
        <v>50</v>
      </c>
      <c r="BI59" s="73">
        <v>50</v>
      </c>
      <c r="BJ59" s="73">
        <v>50</v>
      </c>
      <c r="BK59" s="73">
        <v>50</v>
      </c>
      <c r="BL59" s="73">
        <v>50</v>
      </c>
      <c r="BM59" s="73">
        <v>30</v>
      </c>
      <c r="BN59" s="73">
        <v>50</v>
      </c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1"/>
      <c r="CG59" s="71"/>
      <c r="CH59" s="71"/>
      <c r="CI59" s="71"/>
      <c r="CJ59" s="71" t="s">
        <v>144</v>
      </c>
    </row>
    <row r="60" spans="2:88" x14ac:dyDescent="0.3">
      <c r="B60" s="70" t="s">
        <v>58</v>
      </c>
      <c r="C60" s="71" t="s">
        <v>16</v>
      </c>
      <c r="D60" s="72" t="str">
        <f t="shared" si="41"/>
        <v>Josip Bilen</v>
      </c>
      <c r="E60" s="73">
        <f>SUM(O60:CI60)</f>
        <v>1960</v>
      </c>
      <c r="F60" s="74" t="e">
        <f>E60*D60</f>
        <v>#VALUE!</v>
      </c>
      <c r="G60" s="75">
        <v>2500</v>
      </c>
      <c r="H60" s="73">
        <f t="shared" si="42"/>
        <v>40</v>
      </c>
      <c r="I60" s="74">
        <f>H60*G60</f>
        <v>100000</v>
      </c>
      <c r="J60" s="74" t="e">
        <f>SUM(F60,I60)</f>
        <v>#VALUE!</v>
      </c>
      <c r="K60" s="141" cm="1">
        <f t="array" ref="K60">IFERROR(INDEX($O$6:$EM$6,MATCH(TRUE,O60:EM60&lt;&gt;"",0)),"")</f>
        <v>46082</v>
      </c>
      <c r="L60" s="141" cm="1">
        <f t="array" ref="L60">IFERROR(INDEX($O$6:$CI$6,_xlfn.XMATCH(1,(O60:CI60&lt;&gt;"")*1,,-1))-1,"")</f>
        <v>46354</v>
      </c>
      <c r="M60" s="73">
        <f>COUNTA(O60:EM60)</f>
        <v>40</v>
      </c>
      <c r="N60" s="76">
        <f>IFERROR(K60+1,"")</f>
        <v>46083</v>
      </c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>
        <v>50</v>
      </c>
      <c r="AA60" s="73">
        <v>50</v>
      </c>
      <c r="AB60" s="73">
        <v>50</v>
      </c>
      <c r="AC60" s="73">
        <v>50</v>
      </c>
      <c r="AD60" s="73">
        <v>50</v>
      </c>
      <c r="AE60" s="73">
        <v>50</v>
      </c>
      <c r="AF60" s="73">
        <v>50</v>
      </c>
      <c r="AG60" s="73">
        <v>50</v>
      </c>
      <c r="AH60" s="73">
        <v>50</v>
      </c>
      <c r="AI60" s="94">
        <v>40</v>
      </c>
      <c r="AJ60" s="73">
        <v>50</v>
      </c>
      <c r="AK60" s="73">
        <v>50</v>
      </c>
      <c r="AL60" s="73">
        <v>50</v>
      </c>
      <c r="AM60" s="73">
        <v>50</v>
      </c>
      <c r="AN60" s="100">
        <v>50</v>
      </c>
      <c r="AO60" s="73">
        <v>50</v>
      </c>
      <c r="AP60" s="73">
        <v>50</v>
      </c>
      <c r="AQ60" s="73">
        <v>50</v>
      </c>
      <c r="AR60" s="106">
        <v>40</v>
      </c>
      <c r="AS60" s="73">
        <v>50</v>
      </c>
      <c r="AT60" s="73">
        <v>50</v>
      </c>
      <c r="AU60" s="73">
        <v>50</v>
      </c>
      <c r="AV60" s="119">
        <v>50</v>
      </c>
      <c r="AW60" s="73">
        <v>50</v>
      </c>
      <c r="AX60" s="73">
        <v>50</v>
      </c>
      <c r="AY60" s="73">
        <v>50</v>
      </c>
      <c r="AZ60" s="73">
        <v>50</v>
      </c>
      <c r="BA60" s="73">
        <v>50</v>
      </c>
      <c r="BB60" s="73">
        <v>50</v>
      </c>
      <c r="BC60" s="73">
        <v>50</v>
      </c>
      <c r="BD60" s="73">
        <v>50</v>
      </c>
      <c r="BE60" s="73">
        <v>50</v>
      </c>
      <c r="BF60" s="73">
        <v>50</v>
      </c>
      <c r="BG60" s="73">
        <v>50</v>
      </c>
      <c r="BH60" s="73">
        <v>50</v>
      </c>
      <c r="BI60" s="73">
        <v>50</v>
      </c>
      <c r="BJ60" s="73">
        <v>50</v>
      </c>
      <c r="BK60" s="73">
        <v>50</v>
      </c>
      <c r="BL60" s="73">
        <v>50</v>
      </c>
      <c r="BM60" s="73">
        <v>30</v>
      </c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1"/>
      <c r="CG60" s="71"/>
      <c r="CH60" s="71"/>
      <c r="CI60" s="71"/>
      <c r="CJ60" s="71"/>
    </row>
    <row r="61" spans="2:88" x14ac:dyDescent="0.3">
      <c r="B61" s="70" t="s">
        <v>56</v>
      </c>
      <c r="C61" s="71" t="s">
        <v>16</v>
      </c>
      <c r="D61" s="72" t="str">
        <f t="shared" si="41"/>
        <v>Erik Stockglausner</v>
      </c>
      <c r="E61" s="73">
        <f t="shared" si="6"/>
        <v>0</v>
      </c>
      <c r="F61" s="74" t="e">
        <f t="shared" si="7"/>
        <v>#VALUE!</v>
      </c>
      <c r="G61" s="75">
        <v>2500</v>
      </c>
      <c r="H61" s="73">
        <f t="shared" si="42"/>
        <v>0</v>
      </c>
      <c r="I61" s="74">
        <f t="shared" si="8"/>
        <v>0</v>
      </c>
      <c r="J61" s="74" t="e">
        <f t="shared" si="9"/>
        <v>#VALUE!</v>
      </c>
      <c r="K61" s="141" t="str" cm="1">
        <f t="array" ref="K61">IFERROR(INDEX($O$6:$EM$6,MATCH(TRUE,O61:EM61&lt;&gt;"",0)),"")</f>
        <v/>
      </c>
      <c r="L61" s="141" t="str" cm="1">
        <f t="array" ref="L61">IFERROR(INDEX($O$6:$CI$6,_xlfn.XMATCH(1,(O61:CI61&lt;&gt;"")*1,,-1))-1,"")</f>
        <v/>
      </c>
      <c r="M61" s="73">
        <f t="shared" ref="M61:M62" si="45">COUNTA(O61:EM61)</f>
        <v>0</v>
      </c>
      <c r="N61" s="76" t="str">
        <f t="shared" si="43"/>
        <v/>
      </c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94"/>
      <c r="AJ61" s="73"/>
      <c r="AK61" s="73"/>
      <c r="AL61" s="73"/>
      <c r="AM61" s="73"/>
      <c r="AN61" s="100"/>
      <c r="AO61" s="73"/>
      <c r="AP61" s="73"/>
      <c r="AQ61" s="73"/>
      <c r="AR61" s="106"/>
      <c r="AS61" s="73"/>
      <c r="AT61" s="73"/>
      <c r="AU61" s="73"/>
      <c r="AV61" s="119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1"/>
      <c r="CG61" s="71"/>
      <c r="CH61" s="71"/>
      <c r="CI61" s="71"/>
      <c r="CJ61" s="71"/>
    </row>
    <row r="62" spans="2:88" x14ac:dyDescent="0.3">
      <c r="B62" s="70" t="s">
        <v>60</v>
      </c>
      <c r="C62" s="71" t="s">
        <v>16</v>
      </c>
      <c r="D62" s="72" t="str">
        <f t="shared" si="41"/>
        <v>Mohamed Ben-Salah</v>
      </c>
      <c r="E62" s="73">
        <f t="shared" si="6"/>
        <v>0</v>
      </c>
      <c r="F62" s="74" t="e">
        <f t="shared" si="7"/>
        <v>#VALUE!</v>
      </c>
      <c r="G62" s="75">
        <v>2500</v>
      </c>
      <c r="H62" s="73">
        <f t="shared" si="42"/>
        <v>0</v>
      </c>
      <c r="I62" s="74">
        <f t="shared" si="8"/>
        <v>0</v>
      </c>
      <c r="J62" s="74" t="e">
        <f t="shared" si="9"/>
        <v>#VALUE!</v>
      </c>
      <c r="K62" s="141" t="str" cm="1">
        <f t="array" ref="K62">IFERROR(INDEX($O$6:$EM$6,MATCH(TRUE,O62:EM62&lt;&gt;"",0)),"")</f>
        <v/>
      </c>
      <c r="L62" s="141" t="str" cm="1">
        <f t="array" ref="L62">IFERROR(INDEX($O$6:$CI$6,_xlfn.XMATCH(1,(O62:CI62&lt;&gt;"")*1,,-1))-1,"")</f>
        <v/>
      </c>
      <c r="M62" s="73">
        <f t="shared" si="45"/>
        <v>0</v>
      </c>
      <c r="N62" s="76" t="str">
        <f t="shared" si="43"/>
        <v/>
      </c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94"/>
      <c r="AJ62" s="73"/>
      <c r="AK62" s="73"/>
      <c r="AL62" s="73"/>
      <c r="AM62" s="73"/>
      <c r="AN62" s="100"/>
      <c r="AO62" s="73"/>
      <c r="AP62" s="73"/>
      <c r="AQ62" s="73"/>
      <c r="AR62" s="106"/>
      <c r="AS62" s="73"/>
      <c r="AT62" s="73"/>
      <c r="AU62" s="73"/>
      <c r="AV62" s="119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1"/>
      <c r="CG62" s="71"/>
      <c r="CH62" s="71"/>
      <c r="CI62" s="71"/>
      <c r="CJ62" s="71"/>
    </row>
    <row r="63" spans="2:88" x14ac:dyDescent="0.3">
      <c r="B63" s="57" t="s">
        <v>21</v>
      </c>
      <c r="C63" s="58" t="s">
        <v>16</v>
      </c>
      <c r="D63" s="59" t="str">
        <f t="shared" si="41"/>
        <v>Connor Paxton</v>
      </c>
      <c r="E63" s="60">
        <f>SUM(O63:CI63)</f>
        <v>0</v>
      </c>
      <c r="F63" s="61" t="e">
        <f>E63*D63</f>
        <v>#VALUE!</v>
      </c>
      <c r="G63" s="62">
        <v>2500</v>
      </c>
      <c r="H63" s="60">
        <f>INT(COUNT(O63:CI63)*1)</f>
        <v>0</v>
      </c>
      <c r="I63" s="61">
        <f>H63*G63</f>
        <v>0</v>
      </c>
      <c r="J63" s="61" t="e">
        <f>SUM(F63,I63)</f>
        <v>#VALUE!</v>
      </c>
      <c r="K63" s="139" t="str" cm="1">
        <f t="array" ref="K63">IFERROR(INDEX($O$6:$EM$6,MATCH(TRUE,O63:EM63&lt;&gt;"",0)),"")</f>
        <v/>
      </c>
      <c r="L63" s="139" t="str" cm="1">
        <f t="array" ref="L63">IFERROR(INDEX($O$6:$CI$6,_xlfn.XMATCH(1,(O63:CI63&lt;&gt;"")*1,,-1))-1,"")</f>
        <v/>
      </c>
      <c r="M63" s="60">
        <f>COUNTA(O63:EM63)</f>
        <v>0</v>
      </c>
      <c r="N63" s="63" t="str">
        <f>IFERROR(K63+1,"")</f>
        <v/>
      </c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92"/>
      <c r="AJ63" s="60"/>
      <c r="AK63" s="60"/>
      <c r="AL63" s="60"/>
      <c r="AM63" s="60"/>
      <c r="AN63" s="98"/>
      <c r="AO63" s="60"/>
      <c r="AP63" s="60"/>
      <c r="AQ63" s="60"/>
      <c r="AR63" s="104"/>
      <c r="AS63" s="60"/>
      <c r="AT63" s="60"/>
      <c r="AU63" s="60"/>
      <c r="AV63" s="117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58"/>
      <c r="CG63" s="58"/>
      <c r="CH63" s="58"/>
      <c r="CI63" s="58"/>
      <c r="CJ63" s="58"/>
    </row>
    <row r="64" spans="2:88" x14ac:dyDescent="0.3">
      <c r="B64" s="57" t="s">
        <v>22</v>
      </c>
      <c r="C64" s="58" t="s">
        <v>16</v>
      </c>
      <c r="D64" s="59" t="str">
        <f t="shared" si="41"/>
        <v>Kedric Benford</v>
      </c>
      <c r="E64" s="60">
        <f>SUM(O64:CI64)</f>
        <v>0</v>
      </c>
      <c r="F64" s="61" t="e">
        <f>E64*D64</f>
        <v>#VALUE!</v>
      </c>
      <c r="G64" s="62">
        <v>2500</v>
      </c>
      <c r="H64" s="60">
        <f>INT(COUNT(O64:CI64)*1)</f>
        <v>0</v>
      </c>
      <c r="I64" s="61">
        <f>H64*G64</f>
        <v>0</v>
      </c>
      <c r="J64" s="61" t="e">
        <f>SUM(F64,I64)</f>
        <v>#VALUE!</v>
      </c>
      <c r="K64" s="139" cm="1">
        <f t="array" ref="K64">IFERROR(INDEX($O$6:$EM$6,MATCH(TRUE,O64:EM64&lt;&gt;"",0)),"")</f>
        <v>0</v>
      </c>
      <c r="L64" s="139" t="str" cm="1">
        <f t="array" ref="L64">IFERROR(INDEX($O$6:$CI$6,_xlfn.XMATCH(1,(O64:CI64&lt;&gt;"")*1,,-1))-1,"")</f>
        <v/>
      </c>
      <c r="M64" s="60">
        <f>COUNTA(O64:EM64)</f>
        <v>1</v>
      </c>
      <c r="N64" s="63">
        <f t="shared" ref="N64" si="46">IFERROR(K64+1,"")</f>
        <v>1</v>
      </c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92"/>
      <c r="AJ64" s="60"/>
      <c r="AK64" s="60"/>
      <c r="AL64" s="60"/>
      <c r="AM64" s="60"/>
      <c r="AN64" s="98"/>
      <c r="AO64" s="60"/>
      <c r="AP64" s="60"/>
      <c r="AQ64" s="60"/>
      <c r="AR64" s="104"/>
      <c r="AS64" s="60"/>
      <c r="AT64" s="60"/>
      <c r="AU64" s="60"/>
      <c r="AV64" s="117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58"/>
      <c r="CG64" s="58"/>
      <c r="CH64" s="58"/>
      <c r="CI64" s="58"/>
      <c r="CJ64" s="58" t="s">
        <v>144</v>
      </c>
    </row>
    <row r="65" spans="1:88" s="18" customFormat="1" ht="15.6" x14ac:dyDescent="0.3">
      <c r="A65" s="21" t="s">
        <v>63</v>
      </c>
      <c r="B65" s="21"/>
      <c r="C65" s="22"/>
      <c r="D65" s="23"/>
      <c r="E65" s="24">
        <f>SUM(E46:E62)</f>
        <v>13830</v>
      </c>
      <c r="F65" s="25" t="e">
        <f>SUM(F46:F62)</f>
        <v>#VALUE!</v>
      </c>
      <c r="G65" s="26"/>
      <c r="H65" s="24"/>
      <c r="I65" s="25">
        <f>SUM(I46:I62)</f>
        <v>702500</v>
      </c>
      <c r="J65" s="25" t="e">
        <f>SUM(J46:J62)</f>
        <v>#VALUE!</v>
      </c>
      <c r="K65" s="138"/>
      <c r="L65" s="138"/>
      <c r="M65" s="24"/>
      <c r="N65" s="27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93"/>
      <c r="AJ65" s="24"/>
      <c r="AK65" s="24"/>
      <c r="AL65" s="24"/>
      <c r="AM65" s="24"/>
      <c r="AN65" s="99"/>
      <c r="AO65" s="24"/>
      <c r="AP65" s="24"/>
      <c r="AQ65" s="24"/>
      <c r="AR65" s="105"/>
      <c r="AS65" s="24"/>
      <c r="AT65" s="24"/>
      <c r="AU65" s="24"/>
      <c r="AV65" s="118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2"/>
      <c r="CG65" s="22"/>
      <c r="CH65" s="22"/>
      <c r="CI65" s="22"/>
      <c r="CJ65" s="1" t="s">
        <v>144</v>
      </c>
    </row>
    <row r="66" spans="1:88" x14ac:dyDescent="0.3">
      <c r="B66" s="7"/>
      <c r="D66" s="12"/>
      <c r="F66" s="28" t="s">
        <v>64</v>
      </c>
      <c r="G66" s="13"/>
      <c r="I66" s="15"/>
      <c r="J66" s="15"/>
      <c r="K66" s="135"/>
      <c r="L66" s="135"/>
      <c r="N66" s="10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92"/>
      <c r="AJ66" s="16"/>
      <c r="AK66" s="16"/>
      <c r="AL66" s="16"/>
      <c r="AM66" s="16"/>
      <c r="AN66" s="98"/>
      <c r="AO66" s="16"/>
      <c r="AP66" s="16"/>
      <c r="AQ66" s="16"/>
      <c r="AR66" s="104"/>
      <c r="AS66" s="16"/>
      <c r="AT66" s="16"/>
      <c r="AU66" s="16"/>
      <c r="AV66" s="117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J66" s="1" t="s">
        <v>144</v>
      </c>
    </row>
    <row r="67" spans="1:88" x14ac:dyDescent="0.3">
      <c r="A67" s="9" t="s">
        <v>25</v>
      </c>
      <c r="B67" s="7"/>
      <c r="D67" s="12"/>
      <c r="F67" s="15"/>
      <c r="G67" s="13"/>
      <c r="I67" s="15"/>
      <c r="J67" s="15"/>
      <c r="K67" s="135"/>
      <c r="L67" s="135"/>
      <c r="N67" s="2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92"/>
      <c r="AJ67" s="16"/>
      <c r="AK67" s="16"/>
      <c r="AL67" s="16"/>
      <c r="AM67" s="16"/>
      <c r="AN67" s="98"/>
      <c r="AO67" s="16"/>
      <c r="AP67" s="16"/>
      <c r="AQ67" s="16"/>
      <c r="AR67" s="104"/>
      <c r="AS67" s="16"/>
      <c r="AT67" s="16"/>
      <c r="AU67" s="16"/>
      <c r="AV67" s="117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J67" s="1" t="s">
        <v>144</v>
      </c>
    </row>
    <row r="68" spans="1:88" x14ac:dyDescent="0.3">
      <c r="B68" s="85" t="s">
        <v>26</v>
      </c>
      <c r="D68" s="12"/>
      <c r="F68" s="15"/>
      <c r="G68" s="13"/>
      <c r="I68" s="15"/>
      <c r="J68" s="15"/>
      <c r="K68" s="135"/>
      <c r="L68" s="135"/>
      <c r="N68" s="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92"/>
      <c r="AJ68" s="16"/>
      <c r="AK68" s="16"/>
      <c r="AL68" s="16"/>
      <c r="AM68" s="16"/>
      <c r="AN68" s="98"/>
      <c r="AO68" s="16"/>
      <c r="AP68" s="16"/>
      <c r="AQ68" s="16"/>
      <c r="AR68" s="104"/>
      <c r="AS68" s="16"/>
      <c r="AT68" s="16"/>
      <c r="AU68" s="16"/>
      <c r="AV68" s="117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J68" s="1" t="s">
        <v>144</v>
      </c>
    </row>
    <row r="69" spans="1:88" x14ac:dyDescent="0.3">
      <c r="B69" s="57" t="s">
        <v>19</v>
      </c>
      <c r="C69" s="58" t="s">
        <v>16</v>
      </c>
      <c r="D69" s="59" t="str">
        <f t="shared" ref="D69:D74" si="47">VLOOKUP(B69,Rate_Table,2,0)</f>
        <v>Muhammed Kurt</v>
      </c>
      <c r="E69" s="60">
        <f t="shared" si="6"/>
        <v>250</v>
      </c>
      <c r="F69" s="61" t="e">
        <f t="shared" si="7"/>
        <v>#VALUE!</v>
      </c>
      <c r="G69" s="62">
        <v>2500</v>
      </c>
      <c r="H69" s="60">
        <f t="shared" ref="H69:H74" si="48">INT(COUNT(O69:CI69)*1)</f>
        <v>5</v>
      </c>
      <c r="I69" s="61">
        <f t="shared" si="8"/>
        <v>12500</v>
      </c>
      <c r="J69" s="61" t="e">
        <f t="shared" si="9"/>
        <v>#VALUE!</v>
      </c>
      <c r="K69" s="139" cm="1">
        <f t="array" ref="K69">IFERROR(INDEX($O$6:$EM$6,MATCH(TRUE,O69:EM69&lt;&gt;"",0)),"")</f>
        <v>46229</v>
      </c>
      <c r="L69" s="139" cm="1">
        <f t="array" ref="L69">IFERROR(INDEX($O$6:$CI$6,_xlfn.XMATCH(1,(O69:CI69&lt;&gt;"")*1,,-1))-1,"")</f>
        <v>46256</v>
      </c>
      <c r="M69" s="60">
        <f t="shared" ref="M69:M79" si="49">COUNTA(O69:EM69)</f>
        <v>6</v>
      </c>
      <c r="N69" s="63">
        <f t="shared" ref="N69:N72" si="50">IFERROR(K69+1,"")</f>
        <v>46230</v>
      </c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92"/>
      <c r="AJ69" s="60"/>
      <c r="AK69" s="60"/>
      <c r="AL69" s="60"/>
      <c r="AM69" s="60"/>
      <c r="AN69" s="98"/>
      <c r="AO69" s="60"/>
      <c r="AP69" s="60"/>
      <c r="AQ69" s="60"/>
      <c r="AR69" s="104"/>
      <c r="AS69" s="60"/>
      <c r="AT69" s="60"/>
      <c r="AU69" s="60">
        <v>50</v>
      </c>
      <c r="AV69" s="117">
        <v>50</v>
      </c>
      <c r="AW69" s="60">
        <v>50</v>
      </c>
      <c r="AX69" s="60">
        <v>50</v>
      </c>
      <c r="AY69" s="60">
        <v>50</v>
      </c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58"/>
      <c r="CG69" s="58"/>
      <c r="CH69" s="58"/>
      <c r="CI69" s="58"/>
      <c r="CJ69" s="58" t="s">
        <v>144</v>
      </c>
    </row>
    <row r="70" spans="1:88" x14ac:dyDescent="0.3">
      <c r="B70" s="57" t="s">
        <v>20</v>
      </c>
      <c r="C70" s="58" t="s">
        <v>16</v>
      </c>
      <c r="D70" s="59" t="str">
        <f t="shared" si="47"/>
        <v>Carter Corey</v>
      </c>
      <c r="E70" s="60">
        <f t="shared" si="6"/>
        <v>250</v>
      </c>
      <c r="F70" s="61" t="e">
        <f t="shared" si="7"/>
        <v>#VALUE!</v>
      </c>
      <c r="G70" s="62">
        <v>2500</v>
      </c>
      <c r="H70" s="60">
        <f t="shared" si="48"/>
        <v>5</v>
      </c>
      <c r="I70" s="61">
        <f t="shared" si="8"/>
        <v>12500</v>
      </c>
      <c r="J70" s="61" t="e">
        <f t="shared" si="9"/>
        <v>#VALUE!</v>
      </c>
      <c r="K70" s="139" cm="1">
        <f t="array" ref="K70">IFERROR(INDEX($O$6:$EM$6,MATCH(TRUE,O70:EM70&lt;&gt;"",0)),"")</f>
        <v>46229</v>
      </c>
      <c r="L70" s="139" cm="1">
        <f t="array" ref="L70">IFERROR(INDEX($O$6:$CI$6,_xlfn.XMATCH(1,(O70:CI70&lt;&gt;"")*1,,-1))-1,"")</f>
        <v>46256</v>
      </c>
      <c r="M70" s="60">
        <f t="shared" si="49"/>
        <v>6</v>
      </c>
      <c r="N70" s="63">
        <f t="shared" si="50"/>
        <v>46230</v>
      </c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92"/>
      <c r="AJ70" s="60"/>
      <c r="AK70" s="60"/>
      <c r="AL70" s="60"/>
      <c r="AM70" s="60"/>
      <c r="AN70" s="98"/>
      <c r="AO70" s="60"/>
      <c r="AP70" s="60"/>
      <c r="AQ70" s="60"/>
      <c r="AR70" s="104"/>
      <c r="AS70" s="60"/>
      <c r="AT70" s="60"/>
      <c r="AU70" s="60">
        <v>50</v>
      </c>
      <c r="AV70" s="117">
        <v>50</v>
      </c>
      <c r="AW70" s="60">
        <v>50</v>
      </c>
      <c r="AX70" s="60">
        <v>50</v>
      </c>
      <c r="AY70" s="60">
        <v>50</v>
      </c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58"/>
      <c r="CG70" s="58"/>
      <c r="CH70" s="58"/>
      <c r="CI70" s="58"/>
      <c r="CJ70" s="58" t="s">
        <v>144</v>
      </c>
    </row>
    <row r="71" spans="1:88" x14ac:dyDescent="0.3">
      <c r="B71" s="51" t="s">
        <v>59</v>
      </c>
      <c r="C71" s="44" t="s">
        <v>16</v>
      </c>
      <c r="D71" s="52" t="str">
        <f t="shared" si="47"/>
        <v>Kevin Duong</v>
      </c>
      <c r="E71" s="53">
        <f t="shared" si="6"/>
        <v>200</v>
      </c>
      <c r="F71" s="54" t="e">
        <f t="shared" si="7"/>
        <v>#VALUE!</v>
      </c>
      <c r="G71" s="55">
        <v>2500</v>
      </c>
      <c r="H71" s="53">
        <f t="shared" si="48"/>
        <v>4</v>
      </c>
      <c r="I71" s="54">
        <f t="shared" si="8"/>
        <v>10000</v>
      </c>
      <c r="J71" s="54" t="e">
        <f t="shared" si="9"/>
        <v>#VALUE!</v>
      </c>
      <c r="K71" s="140" cm="1">
        <f t="array" ref="K71">IFERROR(INDEX($O$6:$EM$6,MATCH(TRUE,O71:EM71&lt;&gt;"",0)),"")</f>
        <v>46236</v>
      </c>
      <c r="L71" s="140" cm="1">
        <f t="array" ref="L71">IFERROR(INDEX($O$6:$CI$6,_xlfn.XMATCH(1,(O71:CI71&lt;&gt;"")*1,,-1))-1,"")</f>
        <v>46256</v>
      </c>
      <c r="M71" s="53">
        <f t="shared" si="49"/>
        <v>5</v>
      </c>
      <c r="N71" s="56">
        <f t="shared" si="50"/>
        <v>46237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92"/>
      <c r="AJ71" s="53"/>
      <c r="AK71" s="53"/>
      <c r="AL71" s="53"/>
      <c r="AM71" s="53"/>
      <c r="AN71" s="98"/>
      <c r="AO71" s="53"/>
      <c r="AP71" s="53"/>
      <c r="AQ71" s="53"/>
      <c r="AR71" s="104"/>
      <c r="AS71" s="53"/>
      <c r="AT71" s="53"/>
      <c r="AU71" s="53"/>
      <c r="AV71" s="117">
        <v>50</v>
      </c>
      <c r="AW71" s="53">
        <v>50</v>
      </c>
      <c r="AX71" s="53">
        <v>50</v>
      </c>
      <c r="AY71" s="53">
        <v>50</v>
      </c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44"/>
      <c r="CG71" s="44"/>
      <c r="CH71" s="44"/>
      <c r="CI71" s="44"/>
      <c r="CJ71" s="1" t="s">
        <v>144</v>
      </c>
    </row>
    <row r="72" spans="1:88" x14ac:dyDescent="0.3">
      <c r="B72" s="57" t="s">
        <v>21</v>
      </c>
      <c r="C72" s="58" t="s">
        <v>16</v>
      </c>
      <c r="D72" s="59" t="str">
        <f t="shared" si="47"/>
        <v>Connor Paxton</v>
      </c>
      <c r="E72" s="60">
        <f t="shared" si="6"/>
        <v>250</v>
      </c>
      <c r="F72" s="61" t="e">
        <f t="shared" si="7"/>
        <v>#VALUE!</v>
      </c>
      <c r="G72" s="62">
        <v>2500</v>
      </c>
      <c r="H72" s="60">
        <f t="shared" si="48"/>
        <v>5</v>
      </c>
      <c r="I72" s="61">
        <f t="shared" si="8"/>
        <v>12500</v>
      </c>
      <c r="J72" s="61" t="e">
        <f t="shared" si="9"/>
        <v>#VALUE!</v>
      </c>
      <c r="K72" s="139" cm="1">
        <f t="array" ref="K72">IFERROR(INDEX($O$6:$EM$6,MATCH(TRUE,O72:EM72&lt;&gt;"",0)),"")</f>
        <v>46229</v>
      </c>
      <c r="L72" s="139" cm="1">
        <f t="array" ref="L72">IFERROR(INDEX($O$6:$CI$6,_xlfn.XMATCH(1,(O72:CI72&lt;&gt;"")*1,,-1))-1,"")</f>
        <v>46256</v>
      </c>
      <c r="M72" s="60">
        <f t="shared" si="49"/>
        <v>6</v>
      </c>
      <c r="N72" s="63">
        <f t="shared" si="50"/>
        <v>46230</v>
      </c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92"/>
      <c r="AJ72" s="60"/>
      <c r="AK72" s="60"/>
      <c r="AL72" s="60"/>
      <c r="AM72" s="60"/>
      <c r="AN72" s="98"/>
      <c r="AO72" s="60"/>
      <c r="AP72" s="60"/>
      <c r="AQ72" s="60"/>
      <c r="AR72" s="104"/>
      <c r="AS72" s="60"/>
      <c r="AT72" s="60"/>
      <c r="AU72" s="60">
        <v>50</v>
      </c>
      <c r="AV72" s="117">
        <v>50</v>
      </c>
      <c r="AW72" s="60">
        <v>50</v>
      </c>
      <c r="AX72" s="60">
        <v>50</v>
      </c>
      <c r="AY72" s="60">
        <v>50</v>
      </c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58"/>
      <c r="CG72" s="58"/>
      <c r="CH72" s="58"/>
      <c r="CI72" s="58"/>
      <c r="CJ72" s="58" t="s">
        <v>144</v>
      </c>
    </row>
    <row r="73" spans="1:88" x14ac:dyDescent="0.3">
      <c r="B73" s="57" t="s">
        <v>22</v>
      </c>
      <c r="C73" s="58" t="s">
        <v>16</v>
      </c>
      <c r="D73" s="59" t="str">
        <f t="shared" si="47"/>
        <v>Kedric Benford</v>
      </c>
      <c r="E73" s="60">
        <f t="shared" ref="E73:E74" si="51">SUM(O73:CI73)</f>
        <v>250</v>
      </c>
      <c r="F73" s="61" t="e">
        <f t="shared" ref="F73:F74" si="52">E73*D73</f>
        <v>#VALUE!</v>
      </c>
      <c r="G73" s="62">
        <v>2500</v>
      </c>
      <c r="H73" s="60">
        <f t="shared" si="48"/>
        <v>5</v>
      </c>
      <c r="I73" s="61">
        <f t="shared" ref="I73:I74" si="53">H73*G73</f>
        <v>12500</v>
      </c>
      <c r="J73" s="61" t="e">
        <f t="shared" ref="J73:J74" si="54">SUM(F73,I73)</f>
        <v>#VALUE!</v>
      </c>
      <c r="K73" s="139" cm="1">
        <f t="array" ref="K73">IFERROR(INDEX($O$6:$EM$6,MATCH(TRUE,O73:EM73&lt;&gt;"",0)),"")</f>
        <v>46229</v>
      </c>
      <c r="L73" s="139" cm="1">
        <f t="array" ref="L73">IFERROR(INDEX($O$6:$CI$6,_xlfn.XMATCH(1,(O73:CI73&lt;&gt;"")*1,,-1))-1,"")</f>
        <v>46256</v>
      </c>
      <c r="M73" s="60">
        <f t="shared" ref="M73:M74" si="55">COUNTA(O73:EM73)</f>
        <v>6</v>
      </c>
      <c r="N73" s="63">
        <f t="shared" ref="N73:N74" si="56">IFERROR(K73+1,"")</f>
        <v>46230</v>
      </c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92"/>
      <c r="AJ73" s="60"/>
      <c r="AK73" s="60"/>
      <c r="AL73" s="60"/>
      <c r="AM73" s="60"/>
      <c r="AN73" s="98"/>
      <c r="AO73" s="60"/>
      <c r="AP73" s="60"/>
      <c r="AQ73" s="60"/>
      <c r="AR73" s="104"/>
      <c r="AS73" s="60"/>
      <c r="AT73" s="60"/>
      <c r="AU73" s="60">
        <v>50</v>
      </c>
      <c r="AV73" s="117">
        <v>50</v>
      </c>
      <c r="AW73" s="60">
        <v>50</v>
      </c>
      <c r="AX73" s="60">
        <v>50</v>
      </c>
      <c r="AY73" s="60">
        <v>50</v>
      </c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58"/>
      <c r="CG73" s="58"/>
      <c r="CH73" s="58"/>
      <c r="CI73" s="58"/>
      <c r="CJ73" s="58" t="s">
        <v>144</v>
      </c>
    </row>
    <row r="74" spans="1:88" x14ac:dyDescent="0.3">
      <c r="B74" s="51" t="s">
        <v>60</v>
      </c>
      <c r="C74" s="44" t="s">
        <v>16</v>
      </c>
      <c r="D74" s="52" t="str">
        <f t="shared" si="47"/>
        <v>Mohamed Ben-Salah</v>
      </c>
      <c r="E74" s="53">
        <f t="shared" si="51"/>
        <v>250</v>
      </c>
      <c r="F74" s="54" t="e">
        <f t="shared" si="52"/>
        <v>#VALUE!</v>
      </c>
      <c r="G74" s="55">
        <v>2500</v>
      </c>
      <c r="H74" s="53">
        <f t="shared" si="48"/>
        <v>5</v>
      </c>
      <c r="I74" s="54">
        <f t="shared" si="53"/>
        <v>12500</v>
      </c>
      <c r="J74" s="54" t="e">
        <f t="shared" si="54"/>
        <v>#VALUE!</v>
      </c>
      <c r="K74" s="140" cm="1">
        <f t="array" ref="K74">IFERROR(INDEX($O$6:$EM$6,MATCH(TRUE,O74:EM74&lt;&gt;"",0)),"")</f>
        <v>46229</v>
      </c>
      <c r="L74" s="140" cm="1">
        <f t="array" ref="L74">IFERROR(INDEX($O$6:$CI$6,_xlfn.XMATCH(1,(O74:CI74&lt;&gt;"")*1,,-1))-1,"")</f>
        <v>46256</v>
      </c>
      <c r="M74" s="53">
        <f t="shared" si="55"/>
        <v>6</v>
      </c>
      <c r="N74" s="56">
        <f t="shared" si="56"/>
        <v>46230</v>
      </c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92"/>
      <c r="AJ74" s="53"/>
      <c r="AK74" s="53"/>
      <c r="AL74" s="53"/>
      <c r="AM74" s="53"/>
      <c r="AN74" s="98"/>
      <c r="AO74" s="53"/>
      <c r="AP74" s="53"/>
      <c r="AQ74" s="53"/>
      <c r="AR74" s="104"/>
      <c r="AS74" s="53"/>
      <c r="AT74" s="53"/>
      <c r="AU74" s="53">
        <v>50</v>
      </c>
      <c r="AV74" s="117">
        <v>50</v>
      </c>
      <c r="AW74" s="53">
        <v>50</v>
      </c>
      <c r="AX74" s="53">
        <v>50</v>
      </c>
      <c r="AY74" s="53">
        <v>50</v>
      </c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44"/>
      <c r="CG74" s="44"/>
      <c r="CH74" s="44"/>
      <c r="CI74" s="44"/>
      <c r="CJ74" s="44" t="s">
        <v>144</v>
      </c>
    </row>
    <row r="75" spans="1:88" x14ac:dyDescent="0.3">
      <c r="B75" s="8" t="s">
        <v>27</v>
      </c>
      <c r="D75" s="12"/>
      <c r="F75" s="15"/>
      <c r="G75" s="13"/>
      <c r="I75" s="15"/>
      <c r="J75" s="15"/>
      <c r="K75" s="135"/>
      <c r="L75" s="135"/>
      <c r="N75" s="5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92"/>
      <c r="AJ75" s="16"/>
      <c r="AK75" s="16"/>
      <c r="AL75" s="16"/>
      <c r="AM75" s="16"/>
      <c r="AN75" s="98"/>
      <c r="AO75" s="16"/>
      <c r="AP75" s="16"/>
      <c r="AQ75" s="16"/>
      <c r="AR75" s="104"/>
      <c r="AS75" s="16"/>
      <c r="AT75" s="16"/>
      <c r="AU75" s="16"/>
      <c r="AV75" s="117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J75" s="1" t="s">
        <v>144</v>
      </c>
    </row>
    <row r="76" spans="1:88" x14ac:dyDescent="0.3">
      <c r="B76" s="57" t="s">
        <v>19</v>
      </c>
      <c r="C76" s="58" t="s">
        <v>16</v>
      </c>
      <c r="D76" s="59" t="str">
        <f t="shared" ref="D76:D81" si="57">VLOOKUP(B76,Rate_Table,2,0)</f>
        <v>Muhammed Kurt</v>
      </c>
      <c r="E76" s="60">
        <f t="shared" ref="E76:E143" si="58">SUM(O76:CI76)</f>
        <v>100</v>
      </c>
      <c r="F76" s="61" t="e">
        <f t="shared" ref="F76:F143" si="59">E76*D76</f>
        <v>#VALUE!</v>
      </c>
      <c r="G76" s="62">
        <v>2500</v>
      </c>
      <c r="H76" s="60">
        <f t="shared" ref="H76:H81" si="60">INT(COUNT(O76:CI76)*1)</f>
        <v>2</v>
      </c>
      <c r="I76" s="61">
        <f t="shared" ref="I76:I143" si="61">H76*G76</f>
        <v>5000</v>
      </c>
      <c r="J76" s="61" t="e">
        <f t="shared" ref="J76:J143" si="62">SUM(F76,I76)</f>
        <v>#VALUE!</v>
      </c>
      <c r="K76" s="139" cm="1">
        <f t="array" ref="K76">IFERROR(INDEX($O$6:$EM$6,MATCH(TRUE,O76:EM76&lt;&gt;"",0)),"")</f>
        <v>46264</v>
      </c>
      <c r="L76" s="139" cm="1">
        <f t="array" ref="L76">IFERROR(INDEX($O$6:$CI$6,_xlfn.XMATCH(1,(O76:CI76&lt;&gt;"")*1,,-1))-1,"")</f>
        <v>46270</v>
      </c>
      <c r="M76" s="60">
        <f t="shared" si="49"/>
        <v>3</v>
      </c>
      <c r="N76" s="63">
        <f t="shared" ref="N76:N79" si="63">IFERROR(K76+1,"")</f>
        <v>46265</v>
      </c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92"/>
      <c r="AJ76" s="60"/>
      <c r="AK76" s="60"/>
      <c r="AL76" s="60"/>
      <c r="AM76" s="60"/>
      <c r="AN76" s="98"/>
      <c r="AO76" s="60"/>
      <c r="AP76" s="60"/>
      <c r="AQ76" s="60"/>
      <c r="AR76" s="104"/>
      <c r="AS76" s="60"/>
      <c r="AT76" s="60"/>
      <c r="AU76" s="60"/>
      <c r="AV76" s="117"/>
      <c r="AW76" s="60"/>
      <c r="AX76" s="60"/>
      <c r="AY76" s="60"/>
      <c r="AZ76" s="60">
        <v>50</v>
      </c>
      <c r="BA76" s="60">
        <v>50</v>
      </c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58"/>
      <c r="CG76" s="58"/>
      <c r="CH76" s="58"/>
      <c r="CI76" s="58"/>
      <c r="CJ76" s="58" t="s">
        <v>144</v>
      </c>
    </row>
    <row r="77" spans="1:88" x14ac:dyDescent="0.3">
      <c r="B77" s="57" t="s">
        <v>20</v>
      </c>
      <c r="C77" s="58" t="s">
        <v>16</v>
      </c>
      <c r="D77" s="59" t="str">
        <f t="shared" si="57"/>
        <v>Carter Corey</v>
      </c>
      <c r="E77" s="60">
        <f t="shared" si="58"/>
        <v>100</v>
      </c>
      <c r="F77" s="61" t="e">
        <f t="shared" si="59"/>
        <v>#VALUE!</v>
      </c>
      <c r="G77" s="62">
        <v>2500</v>
      </c>
      <c r="H77" s="60">
        <f t="shared" si="60"/>
        <v>2</v>
      </c>
      <c r="I77" s="61">
        <f t="shared" si="61"/>
        <v>5000</v>
      </c>
      <c r="J77" s="61" t="e">
        <f t="shared" si="62"/>
        <v>#VALUE!</v>
      </c>
      <c r="K77" s="139" cm="1">
        <f t="array" ref="K77">IFERROR(INDEX($O$6:$EM$6,MATCH(TRUE,O77:EM77&lt;&gt;"",0)),"")</f>
        <v>46264</v>
      </c>
      <c r="L77" s="139" cm="1">
        <f t="array" ref="L77">IFERROR(INDEX($O$6:$CI$6,_xlfn.XMATCH(1,(O77:CI77&lt;&gt;"")*1,,-1))-1,"")</f>
        <v>46270</v>
      </c>
      <c r="M77" s="60">
        <f t="shared" si="49"/>
        <v>3</v>
      </c>
      <c r="N77" s="63">
        <f t="shared" si="63"/>
        <v>46265</v>
      </c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92"/>
      <c r="AJ77" s="60"/>
      <c r="AK77" s="60"/>
      <c r="AL77" s="60"/>
      <c r="AM77" s="60"/>
      <c r="AN77" s="98"/>
      <c r="AO77" s="60"/>
      <c r="AP77" s="60"/>
      <c r="AQ77" s="60"/>
      <c r="AR77" s="104"/>
      <c r="AS77" s="60"/>
      <c r="AT77" s="60"/>
      <c r="AU77" s="60"/>
      <c r="AV77" s="117"/>
      <c r="AW77" s="60"/>
      <c r="AX77" s="60"/>
      <c r="AY77" s="60"/>
      <c r="AZ77" s="60">
        <v>50</v>
      </c>
      <c r="BA77" s="60">
        <v>50</v>
      </c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58"/>
      <c r="CG77" s="58"/>
      <c r="CH77" s="58"/>
      <c r="CI77" s="58"/>
      <c r="CJ77" s="58" t="s">
        <v>144</v>
      </c>
    </row>
    <row r="78" spans="1:88" x14ac:dyDescent="0.3">
      <c r="B78" s="51" t="s">
        <v>59</v>
      </c>
      <c r="C78" s="44" t="s">
        <v>16</v>
      </c>
      <c r="D78" s="52" t="str">
        <f t="shared" si="57"/>
        <v>Kevin Duong</v>
      </c>
      <c r="E78" s="53">
        <f t="shared" si="58"/>
        <v>100</v>
      </c>
      <c r="F78" s="54" t="e">
        <f t="shared" si="59"/>
        <v>#VALUE!</v>
      </c>
      <c r="G78" s="55">
        <v>2500</v>
      </c>
      <c r="H78" s="53">
        <f t="shared" si="60"/>
        <v>2</v>
      </c>
      <c r="I78" s="54">
        <f t="shared" si="61"/>
        <v>5000</v>
      </c>
      <c r="J78" s="54" t="e">
        <f t="shared" si="62"/>
        <v>#VALUE!</v>
      </c>
      <c r="K78" s="140" cm="1">
        <f t="array" ref="K78">IFERROR(INDEX($O$6:$EM$6,MATCH(TRUE,O78:EM78&lt;&gt;"",0)),"")</f>
        <v>46264</v>
      </c>
      <c r="L78" s="140" cm="1">
        <f t="array" ref="L78">IFERROR(INDEX($O$6:$CI$6,_xlfn.XMATCH(1,(O78:CI78&lt;&gt;"")*1,,-1))-1,"")</f>
        <v>46270</v>
      </c>
      <c r="M78" s="53">
        <f t="shared" si="49"/>
        <v>3</v>
      </c>
      <c r="N78" s="56">
        <f t="shared" si="63"/>
        <v>46265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92"/>
      <c r="AJ78" s="53"/>
      <c r="AK78" s="53"/>
      <c r="AL78" s="53"/>
      <c r="AM78" s="53"/>
      <c r="AN78" s="98"/>
      <c r="AO78" s="53"/>
      <c r="AP78" s="53"/>
      <c r="AQ78" s="53"/>
      <c r="AR78" s="104"/>
      <c r="AS78" s="53"/>
      <c r="AT78" s="53"/>
      <c r="AU78" s="53"/>
      <c r="AV78" s="117"/>
      <c r="AW78" s="53"/>
      <c r="AX78" s="53"/>
      <c r="AY78" s="53"/>
      <c r="AZ78" s="53">
        <v>50</v>
      </c>
      <c r="BA78" s="53">
        <v>50</v>
      </c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44"/>
      <c r="CG78" s="44"/>
      <c r="CH78" s="44"/>
      <c r="CI78" s="44"/>
      <c r="CJ78" s="44" t="s">
        <v>144</v>
      </c>
    </row>
    <row r="79" spans="1:88" x14ac:dyDescent="0.3">
      <c r="B79" s="57" t="s">
        <v>21</v>
      </c>
      <c r="C79" s="58" t="s">
        <v>16</v>
      </c>
      <c r="D79" s="59" t="str">
        <f t="shared" si="57"/>
        <v>Connor Paxton</v>
      </c>
      <c r="E79" s="60">
        <f t="shared" si="58"/>
        <v>100</v>
      </c>
      <c r="F79" s="61" t="e">
        <f t="shared" si="59"/>
        <v>#VALUE!</v>
      </c>
      <c r="G79" s="62">
        <v>2500</v>
      </c>
      <c r="H79" s="60">
        <f t="shared" si="60"/>
        <v>2</v>
      </c>
      <c r="I79" s="61">
        <f t="shared" si="61"/>
        <v>5000</v>
      </c>
      <c r="J79" s="61" t="e">
        <f t="shared" si="62"/>
        <v>#VALUE!</v>
      </c>
      <c r="K79" s="139" cm="1">
        <f t="array" ref="K79">IFERROR(INDEX($O$6:$EM$6,MATCH(TRUE,O79:EM79&lt;&gt;"",0)),"")</f>
        <v>46264</v>
      </c>
      <c r="L79" s="139" cm="1">
        <f t="array" ref="L79">IFERROR(INDEX($O$6:$CI$6,_xlfn.XMATCH(1,(O79:CI79&lt;&gt;"")*1,,-1))-1,"")</f>
        <v>46270</v>
      </c>
      <c r="M79" s="60">
        <f t="shared" si="49"/>
        <v>3</v>
      </c>
      <c r="N79" s="63">
        <f t="shared" si="63"/>
        <v>46265</v>
      </c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92"/>
      <c r="AJ79" s="60"/>
      <c r="AK79" s="60"/>
      <c r="AL79" s="60"/>
      <c r="AM79" s="60"/>
      <c r="AN79" s="98"/>
      <c r="AO79" s="60"/>
      <c r="AP79" s="60"/>
      <c r="AQ79" s="60"/>
      <c r="AR79" s="104"/>
      <c r="AS79" s="60"/>
      <c r="AT79" s="60"/>
      <c r="AU79" s="60"/>
      <c r="AV79" s="117"/>
      <c r="AW79" s="60"/>
      <c r="AX79" s="60"/>
      <c r="AY79" s="60"/>
      <c r="AZ79" s="60">
        <v>50</v>
      </c>
      <c r="BA79" s="60">
        <v>50</v>
      </c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58"/>
      <c r="CG79" s="58"/>
      <c r="CH79" s="58"/>
      <c r="CI79" s="58"/>
      <c r="CJ79" s="58" t="s">
        <v>144</v>
      </c>
    </row>
    <row r="80" spans="1:88" x14ac:dyDescent="0.3">
      <c r="B80" s="57" t="s">
        <v>22</v>
      </c>
      <c r="C80" s="58" t="s">
        <v>16</v>
      </c>
      <c r="D80" s="59" t="str">
        <f t="shared" si="57"/>
        <v>Kedric Benford</v>
      </c>
      <c r="E80" s="60">
        <f t="shared" ref="E80:E81" si="64">SUM(O80:CI80)</f>
        <v>100</v>
      </c>
      <c r="F80" s="61" t="e">
        <f t="shared" ref="F80:F81" si="65">E80*D80</f>
        <v>#VALUE!</v>
      </c>
      <c r="G80" s="62">
        <v>2500</v>
      </c>
      <c r="H80" s="60">
        <f t="shared" si="60"/>
        <v>2</v>
      </c>
      <c r="I80" s="61">
        <f t="shared" ref="I80:I81" si="66">H80*G80</f>
        <v>5000</v>
      </c>
      <c r="J80" s="61" t="e">
        <f t="shared" ref="J80:J81" si="67">SUM(F80,I80)</f>
        <v>#VALUE!</v>
      </c>
      <c r="K80" s="139" cm="1">
        <f t="array" ref="K80">IFERROR(INDEX($O$6:$EM$6,MATCH(TRUE,O80:EM80&lt;&gt;"",0)),"")</f>
        <v>46264</v>
      </c>
      <c r="L80" s="139" cm="1">
        <f t="array" ref="L80">IFERROR(INDEX($O$6:$CI$6,_xlfn.XMATCH(1,(O80:CI80&lt;&gt;"")*1,,-1))-1,"")</f>
        <v>46270</v>
      </c>
      <c r="M80" s="60">
        <f t="shared" ref="M80:M81" si="68">COUNTA(O80:EM80)</f>
        <v>3</v>
      </c>
      <c r="N80" s="63">
        <f t="shared" ref="N80:N81" si="69">IFERROR(K80+1,"")</f>
        <v>46265</v>
      </c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92"/>
      <c r="AJ80" s="60"/>
      <c r="AK80" s="60"/>
      <c r="AL80" s="60"/>
      <c r="AM80" s="60"/>
      <c r="AN80" s="98"/>
      <c r="AO80" s="60"/>
      <c r="AP80" s="60"/>
      <c r="AQ80" s="60"/>
      <c r="AR80" s="104"/>
      <c r="AS80" s="60"/>
      <c r="AT80" s="60"/>
      <c r="AU80" s="60"/>
      <c r="AV80" s="117"/>
      <c r="AW80" s="60"/>
      <c r="AX80" s="60"/>
      <c r="AY80" s="60"/>
      <c r="AZ80" s="60">
        <v>50</v>
      </c>
      <c r="BA80" s="60">
        <v>50</v>
      </c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58"/>
      <c r="CG80" s="58"/>
      <c r="CH80" s="58"/>
      <c r="CI80" s="58"/>
      <c r="CJ80" s="58" t="s">
        <v>144</v>
      </c>
    </row>
    <row r="81" spans="1:88" x14ac:dyDescent="0.3">
      <c r="B81" s="51" t="s">
        <v>60</v>
      </c>
      <c r="C81" s="44" t="s">
        <v>16</v>
      </c>
      <c r="D81" s="52" t="str">
        <f t="shared" si="57"/>
        <v>Mohamed Ben-Salah</v>
      </c>
      <c r="E81" s="53">
        <f t="shared" si="64"/>
        <v>100</v>
      </c>
      <c r="F81" s="54" t="e">
        <f t="shared" si="65"/>
        <v>#VALUE!</v>
      </c>
      <c r="G81" s="55">
        <v>2500</v>
      </c>
      <c r="H81" s="53">
        <f t="shared" si="60"/>
        <v>2</v>
      </c>
      <c r="I81" s="54">
        <f t="shared" si="66"/>
        <v>5000</v>
      </c>
      <c r="J81" s="54" t="e">
        <f t="shared" si="67"/>
        <v>#VALUE!</v>
      </c>
      <c r="K81" s="140" cm="1">
        <f t="array" ref="K81">IFERROR(INDEX($O$6:$EM$6,MATCH(TRUE,O81:EM81&lt;&gt;"",0)),"")</f>
        <v>46264</v>
      </c>
      <c r="L81" s="140" cm="1">
        <f t="array" ref="L81">IFERROR(INDEX($O$6:$CI$6,_xlfn.XMATCH(1,(O81:CI81&lt;&gt;"")*1,,-1))-1,"")</f>
        <v>46270</v>
      </c>
      <c r="M81" s="53">
        <f t="shared" si="68"/>
        <v>3</v>
      </c>
      <c r="N81" s="56">
        <f t="shared" si="69"/>
        <v>46265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92"/>
      <c r="AJ81" s="53"/>
      <c r="AK81" s="53"/>
      <c r="AL81" s="53"/>
      <c r="AM81" s="53"/>
      <c r="AN81" s="98"/>
      <c r="AO81" s="53"/>
      <c r="AP81" s="53"/>
      <c r="AQ81" s="53"/>
      <c r="AR81" s="104"/>
      <c r="AS81" s="53"/>
      <c r="AT81" s="53"/>
      <c r="AU81" s="53"/>
      <c r="AV81" s="117"/>
      <c r="AW81" s="53"/>
      <c r="AX81" s="53"/>
      <c r="AY81" s="53"/>
      <c r="AZ81" s="53">
        <v>50</v>
      </c>
      <c r="BA81" s="53">
        <v>50</v>
      </c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44"/>
      <c r="CG81" s="44"/>
      <c r="CH81" s="44"/>
      <c r="CI81" s="44"/>
      <c r="CJ81" s="44" t="s">
        <v>144</v>
      </c>
    </row>
    <row r="82" spans="1:88" s="18" customFormat="1" ht="15.6" x14ac:dyDescent="0.3">
      <c r="A82" s="21" t="s">
        <v>66</v>
      </c>
      <c r="B82" s="21"/>
      <c r="C82" s="22"/>
      <c r="D82" s="23"/>
      <c r="E82" s="24">
        <f>SUM(E69:E81)</f>
        <v>2050</v>
      </c>
      <c r="F82" s="25" t="e">
        <f>SUM(F69:F81)</f>
        <v>#VALUE!</v>
      </c>
      <c r="G82" s="26"/>
      <c r="H82" s="24"/>
      <c r="I82" s="25">
        <f>SUM(I69:I81)</f>
        <v>102500</v>
      </c>
      <c r="J82" s="25" t="e">
        <f>SUM(J69:J81)</f>
        <v>#VALUE!</v>
      </c>
      <c r="K82" s="138"/>
      <c r="L82" s="138"/>
      <c r="M82" s="24"/>
      <c r="N82" s="27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93"/>
      <c r="AJ82" s="24"/>
      <c r="AK82" s="24"/>
      <c r="AL82" s="24"/>
      <c r="AM82" s="24"/>
      <c r="AN82" s="99"/>
      <c r="AO82" s="24"/>
      <c r="AP82" s="24"/>
      <c r="AQ82" s="24"/>
      <c r="AR82" s="105"/>
      <c r="AS82" s="24"/>
      <c r="AT82" s="24"/>
      <c r="AU82" s="24"/>
      <c r="AV82" s="118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2"/>
      <c r="CG82" s="22"/>
      <c r="CH82" s="22"/>
      <c r="CI82" s="22"/>
      <c r="CJ82" s="1" t="s">
        <v>144</v>
      </c>
    </row>
    <row r="83" spans="1:88" x14ac:dyDescent="0.3">
      <c r="B83" s="7"/>
      <c r="D83" s="12"/>
      <c r="F83" s="15"/>
      <c r="G83" s="13"/>
      <c r="I83" s="15"/>
      <c r="J83" s="15"/>
      <c r="K83" s="135"/>
      <c r="L83" s="135"/>
      <c r="N83" s="1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92"/>
      <c r="AJ83" s="16"/>
      <c r="AK83" s="16"/>
      <c r="AL83" s="16"/>
      <c r="AM83" s="16"/>
      <c r="AN83" s="98"/>
      <c r="AO83" s="16"/>
      <c r="AP83" s="16"/>
      <c r="AQ83" s="16"/>
      <c r="AR83" s="104"/>
      <c r="AS83" s="16"/>
      <c r="AT83" s="16"/>
      <c r="AU83" s="16"/>
      <c r="AV83" s="117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J83" s="1" t="s">
        <v>144</v>
      </c>
    </row>
    <row r="84" spans="1:88" x14ac:dyDescent="0.3">
      <c r="A84" s="9" t="s">
        <v>28</v>
      </c>
      <c r="B84" s="7"/>
      <c r="D84" s="12"/>
      <c r="F84" s="15"/>
      <c r="G84" s="13"/>
      <c r="I84" s="15"/>
      <c r="J84" s="15"/>
      <c r="K84" s="135"/>
      <c r="L84" s="135"/>
      <c r="N84" s="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92"/>
      <c r="AJ84" s="16"/>
      <c r="AK84" s="16"/>
      <c r="AL84" s="16"/>
      <c r="AM84" s="16"/>
      <c r="AN84" s="98"/>
      <c r="AO84" s="16"/>
      <c r="AP84" s="16"/>
      <c r="AQ84" s="16"/>
      <c r="AR84" s="104"/>
      <c r="AS84" s="16"/>
      <c r="AT84" s="16"/>
      <c r="AU84" s="16"/>
      <c r="AV84" s="117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J84" s="1" t="s">
        <v>144</v>
      </c>
    </row>
    <row r="85" spans="1:88" x14ac:dyDescent="0.3">
      <c r="B85" s="85" t="s">
        <v>29</v>
      </c>
      <c r="D85" s="12"/>
      <c r="F85" s="15"/>
      <c r="G85" s="13"/>
      <c r="I85" s="15"/>
      <c r="J85" s="15"/>
      <c r="K85" s="135"/>
      <c r="L85" s="135"/>
      <c r="N85" s="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92"/>
      <c r="AJ85" s="16"/>
      <c r="AK85" s="16"/>
      <c r="AL85" s="16"/>
      <c r="AM85" s="16"/>
      <c r="AN85" s="98"/>
      <c r="AO85" s="16"/>
      <c r="AP85" s="16"/>
      <c r="AQ85" s="16"/>
      <c r="AR85" s="104"/>
      <c r="AS85" s="16"/>
      <c r="AT85" s="16"/>
      <c r="AU85" s="16"/>
      <c r="AV85" s="117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J85" s="1" t="s">
        <v>144</v>
      </c>
    </row>
    <row r="86" spans="1:88" x14ac:dyDescent="0.3">
      <c r="B86" s="57" t="s">
        <v>17</v>
      </c>
      <c r="C86" s="58" t="s">
        <v>16</v>
      </c>
      <c r="D86" s="59" t="str">
        <f t="shared" ref="D86:D91" si="70">VLOOKUP(B86,Rate_Table,2,0)</f>
        <v>Tyler Dunlap</v>
      </c>
      <c r="E86" s="60">
        <f t="shared" si="58"/>
        <v>200</v>
      </c>
      <c r="F86" s="61" t="e">
        <f t="shared" si="59"/>
        <v>#VALUE!</v>
      </c>
      <c r="G86" s="62">
        <v>2500</v>
      </c>
      <c r="H86" s="60">
        <f t="shared" ref="H86:H91" si="71">INT(COUNT(O86:CI86)*1)</f>
        <v>4</v>
      </c>
      <c r="I86" s="61">
        <f t="shared" si="61"/>
        <v>10000</v>
      </c>
      <c r="J86" s="61" t="e">
        <f t="shared" si="62"/>
        <v>#VALUE!</v>
      </c>
      <c r="K86" s="139" cm="1">
        <f t="array" ref="K86">IFERROR(INDEX($O$6:$EM$6,MATCH(TRUE,O86:EM86&lt;&gt;"",0)),"")</f>
        <v>46278</v>
      </c>
      <c r="L86" s="139" cm="1">
        <f t="array" ref="L86">IFERROR(INDEX($O$6:$CI$6,_xlfn.XMATCH(1,(O86:CI86&lt;&gt;"")*1,,-1))-1,"")</f>
        <v>46298</v>
      </c>
      <c r="M86" s="60">
        <f t="shared" ref="M86:M143" si="72">COUNTA(O86:EM86)</f>
        <v>5</v>
      </c>
      <c r="N86" s="63">
        <f t="shared" ref="N86:N89" si="73">IFERROR(K86+1,"")</f>
        <v>46279</v>
      </c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92"/>
      <c r="AJ86" s="60"/>
      <c r="AK86" s="60"/>
      <c r="AL86" s="60"/>
      <c r="AM86" s="60"/>
      <c r="AN86" s="98"/>
      <c r="AO86" s="60"/>
      <c r="AP86" s="60"/>
      <c r="AQ86" s="60"/>
      <c r="AR86" s="104"/>
      <c r="AS86" s="60"/>
      <c r="AT86" s="60"/>
      <c r="AU86" s="60"/>
      <c r="AV86" s="117"/>
      <c r="AW86" s="60"/>
      <c r="AX86" s="60"/>
      <c r="AY86" s="60"/>
      <c r="AZ86" s="60"/>
      <c r="BA86" s="60"/>
      <c r="BB86" s="60">
        <v>50</v>
      </c>
      <c r="BC86" s="60">
        <v>50</v>
      </c>
      <c r="BD86" s="60">
        <v>50</v>
      </c>
      <c r="BE86" s="60">
        <v>50</v>
      </c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58"/>
      <c r="CG86" s="58"/>
      <c r="CH86" s="58"/>
      <c r="CI86" s="58"/>
      <c r="CJ86" s="58" t="s">
        <v>144</v>
      </c>
    </row>
    <row r="87" spans="1:88" x14ac:dyDescent="0.3">
      <c r="B87" s="57" t="s">
        <v>18</v>
      </c>
      <c r="C87" s="58" t="s">
        <v>16</v>
      </c>
      <c r="D87" s="59" t="str">
        <f t="shared" si="70"/>
        <v>Zach Tucker</v>
      </c>
      <c r="E87" s="60">
        <f t="shared" si="58"/>
        <v>250</v>
      </c>
      <c r="F87" s="61" t="e">
        <f t="shared" si="59"/>
        <v>#VALUE!</v>
      </c>
      <c r="G87" s="62">
        <v>2500</v>
      </c>
      <c r="H87" s="60">
        <f t="shared" si="71"/>
        <v>5</v>
      </c>
      <c r="I87" s="61">
        <f t="shared" si="61"/>
        <v>12500</v>
      </c>
      <c r="J87" s="61" t="e">
        <f t="shared" si="62"/>
        <v>#VALUE!</v>
      </c>
      <c r="K87" s="139" cm="1">
        <f t="array" ref="K87">IFERROR(INDEX($O$6:$EM$6,MATCH(TRUE,O87:EM87&lt;&gt;"",0)),"")</f>
        <v>46271</v>
      </c>
      <c r="L87" s="139" cm="1">
        <f t="array" ref="L87">IFERROR(INDEX($O$6:$CI$6,_xlfn.XMATCH(1,(O87:CI87&lt;&gt;"")*1,,-1))-1,"")</f>
        <v>46298</v>
      </c>
      <c r="M87" s="60">
        <f t="shared" si="72"/>
        <v>6</v>
      </c>
      <c r="N87" s="63">
        <f t="shared" si="73"/>
        <v>46272</v>
      </c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92"/>
      <c r="AJ87" s="60"/>
      <c r="AK87" s="60"/>
      <c r="AL87" s="60"/>
      <c r="AM87" s="60"/>
      <c r="AN87" s="98"/>
      <c r="AO87" s="60"/>
      <c r="AP87" s="60"/>
      <c r="AQ87" s="60"/>
      <c r="AR87" s="104"/>
      <c r="AS87" s="60"/>
      <c r="AT87" s="60"/>
      <c r="AU87" s="60"/>
      <c r="AV87" s="117"/>
      <c r="AW87" s="60"/>
      <c r="AX87" s="60"/>
      <c r="AY87" s="60"/>
      <c r="AZ87" s="60"/>
      <c r="BA87" s="60">
        <v>50</v>
      </c>
      <c r="BB87" s="60">
        <v>50</v>
      </c>
      <c r="BC87" s="60">
        <v>50</v>
      </c>
      <c r="BD87" s="60">
        <v>50</v>
      </c>
      <c r="BE87" s="60">
        <v>50</v>
      </c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58"/>
      <c r="CG87" s="58"/>
      <c r="CH87" s="58"/>
      <c r="CI87" s="58"/>
      <c r="CJ87" s="58" t="s">
        <v>144</v>
      </c>
    </row>
    <row r="88" spans="1:88" x14ac:dyDescent="0.3">
      <c r="B88" s="51" t="s">
        <v>55</v>
      </c>
      <c r="C88" s="44" t="s">
        <v>16</v>
      </c>
      <c r="D88" s="52" t="str">
        <f t="shared" si="70"/>
        <v>Tyler Roady</v>
      </c>
      <c r="E88" s="53">
        <f t="shared" si="58"/>
        <v>250</v>
      </c>
      <c r="F88" s="54" t="e">
        <f t="shared" si="59"/>
        <v>#VALUE!</v>
      </c>
      <c r="G88" s="55">
        <v>2500</v>
      </c>
      <c r="H88" s="53">
        <f t="shared" si="71"/>
        <v>5</v>
      </c>
      <c r="I88" s="54">
        <f t="shared" si="61"/>
        <v>12500</v>
      </c>
      <c r="J88" s="54" t="e">
        <f t="shared" si="62"/>
        <v>#VALUE!</v>
      </c>
      <c r="K88" s="140" cm="1">
        <f t="array" ref="K88">IFERROR(INDEX($O$6:$EM$6,MATCH(TRUE,O88:EM88&lt;&gt;"",0)),"")</f>
        <v>46271</v>
      </c>
      <c r="L88" s="140" cm="1">
        <f t="array" ref="L88">IFERROR(INDEX($O$6:$CI$6,_xlfn.XMATCH(1,(O88:CI88&lt;&gt;"")*1,,-1))-1,"")</f>
        <v>46298</v>
      </c>
      <c r="M88" s="53">
        <f t="shared" si="72"/>
        <v>6</v>
      </c>
      <c r="N88" s="56">
        <f t="shared" si="73"/>
        <v>46272</v>
      </c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92"/>
      <c r="AJ88" s="53"/>
      <c r="AK88" s="53"/>
      <c r="AL88" s="53"/>
      <c r="AM88" s="53"/>
      <c r="AN88" s="98"/>
      <c r="AO88" s="53"/>
      <c r="AP88" s="53"/>
      <c r="AQ88" s="53"/>
      <c r="AR88" s="104"/>
      <c r="AS88" s="53"/>
      <c r="AT88" s="53"/>
      <c r="AU88" s="53"/>
      <c r="AV88" s="117"/>
      <c r="AW88" s="53"/>
      <c r="AX88" s="53"/>
      <c r="AY88" s="53"/>
      <c r="AZ88" s="53"/>
      <c r="BA88" s="53">
        <v>50</v>
      </c>
      <c r="BB88" s="53">
        <v>50</v>
      </c>
      <c r="BC88" s="53">
        <v>50</v>
      </c>
      <c r="BD88" s="53">
        <v>50</v>
      </c>
      <c r="BE88" s="53">
        <v>50</v>
      </c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44"/>
      <c r="CG88" s="44"/>
      <c r="CH88" s="44"/>
      <c r="CI88" s="44"/>
      <c r="CJ88" s="44" t="s">
        <v>144</v>
      </c>
    </row>
    <row r="89" spans="1:88" x14ac:dyDescent="0.3">
      <c r="B89" s="57" t="s">
        <v>42</v>
      </c>
      <c r="C89" s="58" t="s">
        <v>16</v>
      </c>
      <c r="D89" s="59" t="str">
        <f t="shared" si="70"/>
        <v>Kaenon Stockglausner</v>
      </c>
      <c r="E89" s="60">
        <f t="shared" si="58"/>
        <v>250</v>
      </c>
      <c r="F89" s="61" t="e">
        <f t="shared" si="59"/>
        <v>#VALUE!</v>
      </c>
      <c r="G89" s="62">
        <v>2500</v>
      </c>
      <c r="H89" s="60">
        <f t="shared" si="71"/>
        <v>5</v>
      </c>
      <c r="I89" s="61">
        <f t="shared" si="61"/>
        <v>12500</v>
      </c>
      <c r="J89" s="61" t="e">
        <f t="shared" si="62"/>
        <v>#VALUE!</v>
      </c>
      <c r="K89" s="139" cm="1">
        <f t="array" ref="K89">IFERROR(INDEX($O$6:$EM$6,MATCH(TRUE,O89:EM89&lt;&gt;"",0)),"")</f>
        <v>46271</v>
      </c>
      <c r="L89" s="139" cm="1">
        <f t="array" ref="L89">IFERROR(INDEX($O$6:$CI$6,_xlfn.XMATCH(1,(O89:CI89&lt;&gt;"")*1,,-1))-1,"")</f>
        <v>46298</v>
      </c>
      <c r="M89" s="60">
        <f t="shared" si="72"/>
        <v>6</v>
      </c>
      <c r="N89" s="63">
        <f t="shared" si="73"/>
        <v>46272</v>
      </c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92"/>
      <c r="AJ89" s="60"/>
      <c r="AK89" s="60"/>
      <c r="AL89" s="60"/>
      <c r="AM89" s="60"/>
      <c r="AN89" s="98"/>
      <c r="AO89" s="60"/>
      <c r="AP89" s="60"/>
      <c r="AQ89" s="60"/>
      <c r="AR89" s="104"/>
      <c r="AS89" s="60"/>
      <c r="AT89" s="60"/>
      <c r="AU89" s="60"/>
      <c r="AV89" s="117"/>
      <c r="AW89" s="60"/>
      <c r="AX89" s="60"/>
      <c r="AY89" s="60"/>
      <c r="AZ89" s="60"/>
      <c r="BA89" s="60">
        <v>50</v>
      </c>
      <c r="BB89" s="60">
        <v>50</v>
      </c>
      <c r="BC89" s="60">
        <v>50</v>
      </c>
      <c r="BD89" s="60">
        <v>50</v>
      </c>
      <c r="BE89" s="60">
        <v>50</v>
      </c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58"/>
      <c r="CG89" s="58"/>
      <c r="CH89" s="58"/>
      <c r="CI89" s="58"/>
      <c r="CJ89" s="58" t="s">
        <v>144</v>
      </c>
    </row>
    <row r="90" spans="1:88" x14ac:dyDescent="0.3">
      <c r="B90" s="57" t="s">
        <v>43</v>
      </c>
      <c r="C90" s="58" t="s">
        <v>16</v>
      </c>
      <c r="D90" s="59">
        <f t="shared" si="70"/>
        <v>0</v>
      </c>
      <c r="E90" s="60">
        <f t="shared" ref="E90:E91" si="74">SUM(O90:CI90)</f>
        <v>250</v>
      </c>
      <c r="F90" s="61">
        <f t="shared" ref="F90:F91" si="75">E90*D90</f>
        <v>0</v>
      </c>
      <c r="G90" s="62">
        <v>2500</v>
      </c>
      <c r="H90" s="60">
        <f t="shared" si="71"/>
        <v>5</v>
      </c>
      <c r="I90" s="61">
        <f t="shared" ref="I90:I91" si="76">H90*G90</f>
        <v>12500</v>
      </c>
      <c r="J90" s="61">
        <f t="shared" ref="J90:J91" si="77">SUM(F90,I90)</f>
        <v>12500</v>
      </c>
      <c r="K90" s="139" cm="1">
        <f t="array" ref="K90">IFERROR(INDEX($O$6:$EM$6,MATCH(TRUE,O90:EM90&lt;&gt;"",0)),"")</f>
        <v>46271</v>
      </c>
      <c r="L90" s="139" cm="1">
        <f t="array" ref="L90">IFERROR(INDEX($O$6:$CI$6,_xlfn.XMATCH(1,(O90:CI90&lt;&gt;"")*1,,-1))-1,"")</f>
        <v>46298</v>
      </c>
      <c r="M90" s="60">
        <f t="shared" ref="M90:M91" si="78">COUNTA(O90:EM90)</f>
        <v>6</v>
      </c>
      <c r="N90" s="63">
        <f t="shared" ref="N90:N91" si="79">IFERROR(K90+1,"")</f>
        <v>46272</v>
      </c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92"/>
      <c r="AJ90" s="60"/>
      <c r="AK90" s="60"/>
      <c r="AL90" s="60"/>
      <c r="AM90" s="60"/>
      <c r="AN90" s="98"/>
      <c r="AO90" s="60"/>
      <c r="AP90" s="60"/>
      <c r="AQ90" s="60"/>
      <c r="AR90" s="104"/>
      <c r="AS90" s="60"/>
      <c r="AT90" s="60"/>
      <c r="AU90" s="60"/>
      <c r="AV90" s="117"/>
      <c r="AW90" s="60"/>
      <c r="AX90" s="60"/>
      <c r="AY90" s="60"/>
      <c r="AZ90" s="60"/>
      <c r="BA90" s="60">
        <v>50</v>
      </c>
      <c r="BB90" s="60">
        <v>50</v>
      </c>
      <c r="BC90" s="60">
        <v>50</v>
      </c>
      <c r="BD90" s="60">
        <v>50</v>
      </c>
      <c r="BE90" s="60">
        <v>50</v>
      </c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58"/>
      <c r="CG90" s="58"/>
      <c r="CH90" s="58"/>
      <c r="CI90" s="58"/>
      <c r="CJ90" s="58" t="s">
        <v>144</v>
      </c>
    </row>
    <row r="91" spans="1:88" x14ac:dyDescent="0.3">
      <c r="B91" s="51" t="s">
        <v>56</v>
      </c>
      <c r="C91" s="44" t="s">
        <v>16</v>
      </c>
      <c r="D91" s="52" t="str">
        <f t="shared" si="70"/>
        <v>Erik Stockglausner</v>
      </c>
      <c r="E91" s="53">
        <f t="shared" si="74"/>
        <v>250</v>
      </c>
      <c r="F91" s="54" t="e">
        <f t="shared" si="75"/>
        <v>#VALUE!</v>
      </c>
      <c r="G91" s="55">
        <v>2500</v>
      </c>
      <c r="H91" s="53">
        <f t="shared" si="71"/>
        <v>5</v>
      </c>
      <c r="I91" s="54">
        <f t="shared" si="76"/>
        <v>12500</v>
      </c>
      <c r="J91" s="54" t="e">
        <f t="shared" si="77"/>
        <v>#VALUE!</v>
      </c>
      <c r="K91" s="140" cm="1">
        <f t="array" ref="K91">IFERROR(INDEX($O$6:$EM$6,MATCH(TRUE,O91:EM91&lt;&gt;"",0)),"")</f>
        <v>46271</v>
      </c>
      <c r="L91" s="140" cm="1">
        <f t="array" ref="L91">IFERROR(INDEX($O$6:$CI$6,_xlfn.XMATCH(1,(O91:CI91&lt;&gt;"")*1,,-1))-1,"")</f>
        <v>46298</v>
      </c>
      <c r="M91" s="53">
        <f t="shared" si="78"/>
        <v>6</v>
      </c>
      <c r="N91" s="56">
        <f t="shared" si="79"/>
        <v>46272</v>
      </c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92"/>
      <c r="AJ91" s="53"/>
      <c r="AK91" s="53"/>
      <c r="AL91" s="53"/>
      <c r="AM91" s="53"/>
      <c r="AN91" s="98"/>
      <c r="AO91" s="53"/>
      <c r="AP91" s="53"/>
      <c r="AQ91" s="53"/>
      <c r="AR91" s="104"/>
      <c r="AS91" s="53"/>
      <c r="AT91" s="53"/>
      <c r="AU91" s="53"/>
      <c r="AV91" s="117"/>
      <c r="AW91" s="53"/>
      <c r="AX91" s="53"/>
      <c r="AY91" s="53"/>
      <c r="AZ91" s="53"/>
      <c r="BA91" s="53">
        <v>50</v>
      </c>
      <c r="BB91" s="53">
        <v>50</v>
      </c>
      <c r="BC91" s="53">
        <v>50</v>
      </c>
      <c r="BD91" s="53">
        <v>50</v>
      </c>
      <c r="BE91" s="53">
        <v>50</v>
      </c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44"/>
      <c r="CG91" s="44"/>
      <c r="CH91" s="44"/>
      <c r="CI91" s="44"/>
      <c r="CJ91" s="44" t="s">
        <v>144</v>
      </c>
    </row>
    <row r="92" spans="1:88" x14ac:dyDescent="0.3">
      <c r="B92" s="8" t="s">
        <v>30</v>
      </c>
      <c r="D92" s="12"/>
      <c r="F92" s="15"/>
      <c r="G92" s="13"/>
      <c r="I92" s="15"/>
      <c r="J92" s="15"/>
      <c r="K92" s="135"/>
      <c r="L92" s="135"/>
      <c r="N92" s="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92"/>
      <c r="AJ92" s="16"/>
      <c r="AK92" s="16"/>
      <c r="AL92" s="16"/>
      <c r="AM92" s="16"/>
      <c r="AN92" s="98"/>
      <c r="AO92" s="16"/>
      <c r="AP92" s="16"/>
      <c r="AQ92" s="16"/>
      <c r="AR92" s="104"/>
      <c r="AS92" s="16"/>
      <c r="AT92" s="16"/>
      <c r="AU92" s="16"/>
      <c r="AV92" s="117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J92" s="1" t="s">
        <v>144</v>
      </c>
    </row>
    <row r="93" spans="1:88" x14ac:dyDescent="0.3">
      <c r="B93" s="57" t="s">
        <v>17</v>
      </c>
      <c r="C93" s="58" t="s">
        <v>16</v>
      </c>
      <c r="D93" s="59" t="str">
        <f t="shared" ref="D93:D98" si="80">VLOOKUP(B93,Rate_Table,2,0)</f>
        <v>Tyler Dunlap</v>
      </c>
      <c r="E93" s="60">
        <f t="shared" si="58"/>
        <v>100</v>
      </c>
      <c r="F93" s="61" t="e">
        <f t="shared" si="59"/>
        <v>#VALUE!</v>
      </c>
      <c r="G93" s="62">
        <v>2500</v>
      </c>
      <c r="H93" s="60">
        <f t="shared" ref="H93:H98" si="81">INT(COUNT(O93:CI93)*1)</f>
        <v>2</v>
      </c>
      <c r="I93" s="61">
        <f t="shared" si="61"/>
        <v>5000</v>
      </c>
      <c r="J93" s="61" t="e">
        <f t="shared" si="62"/>
        <v>#VALUE!</v>
      </c>
      <c r="K93" s="139" cm="1">
        <f t="array" ref="K93">IFERROR(INDEX($O$6:$EM$6,MATCH(TRUE,O93:EM93&lt;&gt;"",0)),"")</f>
        <v>46306</v>
      </c>
      <c r="L93" s="139" cm="1">
        <f t="array" ref="L93">IFERROR(INDEX($O$6:$CI$6,_xlfn.XMATCH(1,(O93:CI93&lt;&gt;"")*1,,-1))-1,"")</f>
        <v>46312</v>
      </c>
      <c r="M93" s="60">
        <f t="shared" si="72"/>
        <v>3</v>
      </c>
      <c r="N93" s="63">
        <f t="shared" ref="N93:N96" si="82">IFERROR(K93+1,"")</f>
        <v>46307</v>
      </c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92"/>
      <c r="AJ93" s="60"/>
      <c r="AK93" s="60"/>
      <c r="AL93" s="60"/>
      <c r="AM93" s="60"/>
      <c r="AN93" s="98"/>
      <c r="AO93" s="60"/>
      <c r="AP93" s="60"/>
      <c r="AQ93" s="60"/>
      <c r="AR93" s="104"/>
      <c r="AS93" s="60"/>
      <c r="AT93" s="60"/>
      <c r="AU93" s="60"/>
      <c r="AV93" s="117"/>
      <c r="AW93" s="60"/>
      <c r="AX93" s="60"/>
      <c r="AY93" s="60"/>
      <c r="AZ93" s="60"/>
      <c r="BA93" s="60"/>
      <c r="BB93" s="60"/>
      <c r="BC93" s="60"/>
      <c r="BD93" s="60"/>
      <c r="BE93" s="60"/>
      <c r="BF93" s="60">
        <v>50</v>
      </c>
      <c r="BG93" s="60">
        <v>50</v>
      </c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58"/>
      <c r="CG93" s="58"/>
      <c r="CH93" s="58"/>
      <c r="CI93" s="58"/>
      <c r="CJ93" s="58" t="s">
        <v>144</v>
      </c>
    </row>
    <row r="94" spans="1:88" x14ac:dyDescent="0.3">
      <c r="B94" s="57" t="s">
        <v>18</v>
      </c>
      <c r="C94" s="58" t="s">
        <v>16</v>
      </c>
      <c r="D94" s="59" t="str">
        <f t="shared" si="80"/>
        <v>Zach Tucker</v>
      </c>
      <c r="E94" s="60">
        <f t="shared" si="58"/>
        <v>100</v>
      </c>
      <c r="F94" s="61" t="e">
        <f t="shared" si="59"/>
        <v>#VALUE!</v>
      </c>
      <c r="G94" s="62">
        <v>2500</v>
      </c>
      <c r="H94" s="60">
        <f t="shared" si="81"/>
        <v>2</v>
      </c>
      <c r="I94" s="61">
        <f t="shared" si="61"/>
        <v>5000</v>
      </c>
      <c r="J94" s="61" t="e">
        <f t="shared" si="62"/>
        <v>#VALUE!</v>
      </c>
      <c r="K94" s="139" cm="1">
        <f t="array" ref="K94">IFERROR(INDEX($O$6:$EM$6,MATCH(TRUE,O94:EM94&lt;&gt;"",0)),"")</f>
        <v>46306</v>
      </c>
      <c r="L94" s="139" cm="1">
        <f t="array" ref="L94">IFERROR(INDEX($O$6:$CI$6,_xlfn.XMATCH(1,(O94:CI94&lt;&gt;"")*1,,-1))-1,"")</f>
        <v>46312</v>
      </c>
      <c r="M94" s="60">
        <f t="shared" si="72"/>
        <v>3</v>
      </c>
      <c r="N94" s="63">
        <f t="shared" si="82"/>
        <v>46307</v>
      </c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92"/>
      <c r="AJ94" s="60"/>
      <c r="AK94" s="60"/>
      <c r="AL94" s="60"/>
      <c r="AM94" s="60"/>
      <c r="AN94" s="98"/>
      <c r="AO94" s="60"/>
      <c r="AP94" s="60"/>
      <c r="AQ94" s="60"/>
      <c r="AR94" s="104"/>
      <c r="AS94" s="60"/>
      <c r="AT94" s="60"/>
      <c r="AU94" s="60"/>
      <c r="AV94" s="117"/>
      <c r="AW94" s="60"/>
      <c r="AX94" s="60"/>
      <c r="AY94" s="60"/>
      <c r="AZ94" s="60"/>
      <c r="BA94" s="60"/>
      <c r="BB94" s="60"/>
      <c r="BC94" s="60"/>
      <c r="BD94" s="60"/>
      <c r="BE94" s="60"/>
      <c r="BF94" s="60">
        <v>50</v>
      </c>
      <c r="BG94" s="60">
        <v>50</v>
      </c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58"/>
      <c r="CG94" s="58"/>
      <c r="CH94" s="58"/>
      <c r="CI94" s="58"/>
      <c r="CJ94" s="58" t="s">
        <v>144</v>
      </c>
    </row>
    <row r="95" spans="1:88" x14ac:dyDescent="0.3">
      <c r="B95" s="51" t="s">
        <v>55</v>
      </c>
      <c r="C95" s="44" t="s">
        <v>16</v>
      </c>
      <c r="D95" s="52" t="str">
        <f t="shared" si="80"/>
        <v>Tyler Roady</v>
      </c>
      <c r="E95" s="53">
        <f t="shared" si="58"/>
        <v>100</v>
      </c>
      <c r="F95" s="54" t="e">
        <f t="shared" si="59"/>
        <v>#VALUE!</v>
      </c>
      <c r="G95" s="55">
        <v>2500</v>
      </c>
      <c r="H95" s="53">
        <f t="shared" si="81"/>
        <v>2</v>
      </c>
      <c r="I95" s="54">
        <f t="shared" si="61"/>
        <v>5000</v>
      </c>
      <c r="J95" s="54" t="e">
        <f t="shared" si="62"/>
        <v>#VALUE!</v>
      </c>
      <c r="K95" s="140" cm="1">
        <f t="array" ref="K95">IFERROR(INDEX($O$6:$EM$6,MATCH(TRUE,O95:EM95&lt;&gt;"",0)),"")</f>
        <v>46306</v>
      </c>
      <c r="L95" s="140" cm="1">
        <f t="array" ref="L95">IFERROR(INDEX($O$6:$CI$6,_xlfn.XMATCH(1,(O95:CI95&lt;&gt;"")*1,,-1))-1,"")</f>
        <v>46312</v>
      </c>
      <c r="M95" s="53">
        <f t="shared" si="72"/>
        <v>3</v>
      </c>
      <c r="N95" s="56">
        <f t="shared" si="82"/>
        <v>46307</v>
      </c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92"/>
      <c r="AJ95" s="53"/>
      <c r="AK95" s="53"/>
      <c r="AL95" s="53"/>
      <c r="AM95" s="53"/>
      <c r="AN95" s="98"/>
      <c r="AO95" s="53"/>
      <c r="AP95" s="53"/>
      <c r="AQ95" s="53"/>
      <c r="AR95" s="104"/>
      <c r="AS95" s="53"/>
      <c r="AT95" s="53"/>
      <c r="AU95" s="53"/>
      <c r="AV95" s="117"/>
      <c r="AW95" s="53"/>
      <c r="AX95" s="53"/>
      <c r="AY95" s="53"/>
      <c r="AZ95" s="53"/>
      <c r="BA95" s="53"/>
      <c r="BB95" s="53"/>
      <c r="BC95" s="53"/>
      <c r="BD95" s="53"/>
      <c r="BE95" s="53"/>
      <c r="BF95" s="53">
        <v>50</v>
      </c>
      <c r="BG95" s="53">
        <v>50</v>
      </c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44"/>
      <c r="CG95" s="44"/>
      <c r="CH95" s="44"/>
      <c r="CI95" s="44"/>
      <c r="CJ95" s="44" t="s">
        <v>144</v>
      </c>
    </row>
    <row r="96" spans="1:88" x14ac:dyDescent="0.3">
      <c r="B96" s="57" t="s">
        <v>42</v>
      </c>
      <c r="C96" s="58" t="s">
        <v>16</v>
      </c>
      <c r="D96" s="59" t="str">
        <f t="shared" si="80"/>
        <v>Kaenon Stockglausner</v>
      </c>
      <c r="E96" s="60">
        <f t="shared" si="58"/>
        <v>100</v>
      </c>
      <c r="F96" s="61" t="e">
        <f t="shared" si="59"/>
        <v>#VALUE!</v>
      </c>
      <c r="G96" s="62">
        <v>2500</v>
      </c>
      <c r="H96" s="60">
        <f t="shared" si="81"/>
        <v>2</v>
      </c>
      <c r="I96" s="61">
        <f t="shared" si="61"/>
        <v>5000</v>
      </c>
      <c r="J96" s="61" t="e">
        <f t="shared" si="62"/>
        <v>#VALUE!</v>
      </c>
      <c r="K96" s="139" cm="1">
        <f t="array" ref="K96">IFERROR(INDEX($O$6:$EM$6,MATCH(TRUE,O96:EM96&lt;&gt;"",0)),"")</f>
        <v>46306</v>
      </c>
      <c r="L96" s="139" cm="1">
        <f t="array" ref="L96">IFERROR(INDEX($O$6:$CI$6,_xlfn.XMATCH(1,(O96:CI96&lt;&gt;"")*1,,-1))-1,"")</f>
        <v>46312</v>
      </c>
      <c r="M96" s="60">
        <f t="shared" si="72"/>
        <v>3</v>
      </c>
      <c r="N96" s="63">
        <f t="shared" si="82"/>
        <v>46307</v>
      </c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92"/>
      <c r="AJ96" s="60"/>
      <c r="AK96" s="60"/>
      <c r="AL96" s="60"/>
      <c r="AM96" s="60"/>
      <c r="AN96" s="98"/>
      <c r="AO96" s="60"/>
      <c r="AP96" s="60"/>
      <c r="AQ96" s="60"/>
      <c r="AR96" s="104"/>
      <c r="AS96" s="60"/>
      <c r="AT96" s="60"/>
      <c r="AU96" s="60"/>
      <c r="AV96" s="117"/>
      <c r="AW96" s="60"/>
      <c r="AX96" s="60"/>
      <c r="AY96" s="60"/>
      <c r="AZ96" s="60"/>
      <c r="BA96" s="60"/>
      <c r="BB96" s="60"/>
      <c r="BC96" s="60"/>
      <c r="BD96" s="60"/>
      <c r="BE96" s="60"/>
      <c r="BF96" s="60">
        <v>50</v>
      </c>
      <c r="BG96" s="60">
        <v>50</v>
      </c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58"/>
      <c r="CG96" s="58"/>
      <c r="CH96" s="58"/>
      <c r="CI96" s="58"/>
      <c r="CJ96" s="58" t="s">
        <v>144</v>
      </c>
    </row>
    <row r="97" spans="1:88" x14ac:dyDescent="0.3">
      <c r="B97" s="57" t="s">
        <v>43</v>
      </c>
      <c r="C97" s="58" t="s">
        <v>16</v>
      </c>
      <c r="D97" s="59">
        <f t="shared" si="80"/>
        <v>0</v>
      </c>
      <c r="E97" s="60">
        <f t="shared" ref="E97:E98" si="83">SUM(O97:CI97)</f>
        <v>100</v>
      </c>
      <c r="F97" s="61">
        <f t="shared" ref="F97:F98" si="84">E97*D97</f>
        <v>0</v>
      </c>
      <c r="G97" s="62">
        <v>2500</v>
      </c>
      <c r="H97" s="60">
        <f t="shared" si="81"/>
        <v>2</v>
      </c>
      <c r="I97" s="61">
        <f t="shared" ref="I97:I98" si="85">H97*G97</f>
        <v>5000</v>
      </c>
      <c r="J97" s="61">
        <f t="shared" ref="J97:J98" si="86">SUM(F97,I97)</f>
        <v>5000</v>
      </c>
      <c r="K97" s="139" cm="1">
        <f t="array" ref="K97">IFERROR(INDEX($O$6:$EM$6,MATCH(TRUE,O97:EM97&lt;&gt;"",0)),"")</f>
        <v>46306</v>
      </c>
      <c r="L97" s="139" cm="1">
        <f t="array" ref="L97">IFERROR(INDEX($O$6:$CI$6,_xlfn.XMATCH(1,(O97:CI97&lt;&gt;"")*1,,-1))-1,"")</f>
        <v>46312</v>
      </c>
      <c r="M97" s="60">
        <f t="shared" ref="M97:M98" si="87">COUNTA(O97:EM97)</f>
        <v>3</v>
      </c>
      <c r="N97" s="63">
        <f t="shared" ref="N97:N98" si="88">IFERROR(K97+1,"")</f>
        <v>46307</v>
      </c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92"/>
      <c r="AJ97" s="60"/>
      <c r="AK97" s="60"/>
      <c r="AL97" s="60"/>
      <c r="AM97" s="60"/>
      <c r="AN97" s="98"/>
      <c r="AO97" s="60"/>
      <c r="AP97" s="60"/>
      <c r="AQ97" s="60"/>
      <c r="AR97" s="104"/>
      <c r="AS97" s="60"/>
      <c r="AT97" s="60"/>
      <c r="AU97" s="60"/>
      <c r="AV97" s="117"/>
      <c r="AW97" s="60"/>
      <c r="AX97" s="60"/>
      <c r="AY97" s="60"/>
      <c r="AZ97" s="60"/>
      <c r="BA97" s="60"/>
      <c r="BB97" s="60"/>
      <c r="BC97" s="60"/>
      <c r="BD97" s="60"/>
      <c r="BE97" s="60"/>
      <c r="BF97" s="60">
        <v>50</v>
      </c>
      <c r="BG97" s="60">
        <v>50</v>
      </c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58"/>
      <c r="CG97" s="58"/>
      <c r="CH97" s="58"/>
      <c r="CI97" s="58"/>
      <c r="CJ97" s="58" t="s">
        <v>144</v>
      </c>
    </row>
    <row r="98" spans="1:88" x14ac:dyDescent="0.3">
      <c r="B98" s="51" t="s">
        <v>56</v>
      </c>
      <c r="C98" s="44" t="s">
        <v>16</v>
      </c>
      <c r="D98" s="52" t="str">
        <f t="shared" si="80"/>
        <v>Erik Stockglausner</v>
      </c>
      <c r="E98" s="53">
        <f t="shared" si="83"/>
        <v>100</v>
      </c>
      <c r="F98" s="54" t="e">
        <f t="shared" si="84"/>
        <v>#VALUE!</v>
      </c>
      <c r="G98" s="55">
        <v>2500</v>
      </c>
      <c r="H98" s="53">
        <f t="shared" si="81"/>
        <v>2</v>
      </c>
      <c r="I98" s="54">
        <f t="shared" si="85"/>
        <v>5000</v>
      </c>
      <c r="J98" s="54" t="e">
        <f t="shared" si="86"/>
        <v>#VALUE!</v>
      </c>
      <c r="K98" s="140" cm="1">
        <f t="array" ref="K98">IFERROR(INDEX($O$6:$EM$6,MATCH(TRUE,O98:EM98&lt;&gt;"",0)),"")</f>
        <v>46306</v>
      </c>
      <c r="L98" s="140" cm="1">
        <f t="array" ref="L98">IFERROR(INDEX($O$6:$CI$6,_xlfn.XMATCH(1,(O98:CI98&lt;&gt;"")*1,,-1))-1,"")</f>
        <v>46312</v>
      </c>
      <c r="M98" s="53">
        <f t="shared" si="87"/>
        <v>3</v>
      </c>
      <c r="N98" s="56">
        <f t="shared" si="88"/>
        <v>46307</v>
      </c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92"/>
      <c r="AJ98" s="53"/>
      <c r="AK98" s="53"/>
      <c r="AL98" s="53"/>
      <c r="AM98" s="53"/>
      <c r="AN98" s="98"/>
      <c r="AO98" s="53"/>
      <c r="AP98" s="53"/>
      <c r="AQ98" s="53"/>
      <c r="AR98" s="104"/>
      <c r="AS98" s="53"/>
      <c r="AT98" s="53"/>
      <c r="AU98" s="53"/>
      <c r="AV98" s="117"/>
      <c r="AW98" s="53"/>
      <c r="AX98" s="53"/>
      <c r="AY98" s="53"/>
      <c r="AZ98" s="53"/>
      <c r="BA98" s="53"/>
      <c r="BB98" s="53"/>
      <c r="BC98" s="53"/>
      <c r="BD98" s="53"/>
      <c r="BE98" s="53"/>
      <c r="BF98" s="53">
        <v>50</v>
      </c>
      <c r="BG98" s="53">
        <v>50</v>
      </c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44"/>
      <c r="CG98" s="44"/>
      <c r="CH98" s="44"/>
      <c r="CI98" s="44"/>
      <c r="CJ98" s="44" t="s">
        <v>144</v>
      </c>
    </row>
    <row r="99" spans="1:88" s="18" customFormat="1" ht="15.6" x14ac:dyDescent="0.3">
      <c r="A99" s="21" t="s">
        <v>65</v>
      </c>
      <c r="B99" s="21"/>
      <c r="C99" s="22"/>
      <c r="D99" s="23"/>
      <c r="E99" s="24">
        <f>SUM(E86:E98)</f>
        <v>2050</v>
      </c>
      <c r="F99" s="25" t="e">
        <f>SUM(F86:F98)</f>
        <v>#VALUE!</v>
      </c>
      <c r="G99" s="26"/>
      <c r="H99" s="24"/>
      <c r="I99" s="25">
        <f>SUM(I86:I98)</f>
        <v>102500</v>
      </c>
      <c r="J99" s="25" t="e">
        <f>SUM(J86:J98)</f>
        <v>#VALUE!</v>
      </c>
      <c r="K99" s="138"/>
      <c r="L99" s="138"/>
      <c r="M99" s="24"/>
      <c r="N99" s="27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93"/>
      <c r="AJ99" s="24"/>
      <c r="AK99" s="24"/>
      <c r="AL99" s="24"/>
      <c r="AM99" s="24"/>
      <c r="AN99" s="99"/>
      <c r="AO99" s="24"/>
      <c r="AP99" s="24"/>
      <c r="AQ99" s="24"/>
      <c r="AR99" s="105"/>
      <c r="AS99" s="24"/>
      <c r="AT99" s="24"/>
      <c r="AU99" s="24"/>
      <c r="AV99" s="118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2"/>
      <c r="CG99" s="22"/>
      <c r="CH99" s="22"/>
      <c r="CI99" s="22"/>
      <c r="CJ99" s="1" t="s">
        <v>144</v>
      </c>
    </row>
    <row r="100" spans="1:88" x14ac:dyDescent="0.3">
      <c r="B100" s="7"/>
      <c r="D100" s="12"/>
      <c r="F100" s="15"/>
      <c r="G100" s="13"/>
      <c r="I100" s="15"/>
      <c r="J100" s="15"/>
      <c r="K100" s="135"/>
      <c r="L100" s="135"/>
      <c r="N100" s="5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92"/>
      <c r="AJ100" s="16"/>
      <c r="AK100" s="16"/>
      <c r="AL100" s="16"/>
      <c r="AM100" s="16"/>
      <c r="AN100" s="98"/>
      <c r="AO100" s="16"/>
      <c r="AP100" s="16"/>
      <c r="AQ100" s="16"/>
      <c r="AR100" s="104"/>
      <c r="AS100" s="16"/>
      <c r="AT100" s="16"/>
      <c r="AU100" s="16"/>
      <c r="AV100" s="117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J100" s="1" t="s">
        <v>144</v>
      </c>
    </row>
    <row r="101" spans="1:88" x14ac:dyDescent="0.3">
      <c r="A101" s="9" t="s">
        <v>31</v>
      </c>
      <c r="B101" s="7"/>
      <c r="D101" s="12"/>
      <c r="F101" s="15"/>
      <c r="G101" s="13"/>
      <c r="I101" s="15"/>
      <c r="J101" s="15"/>
      <c r="K101" s="135"/>
      <c r="L101" s="135"/>
      <c r="N101" s="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92"/>
      <c r="AJ101" s="16"/>
      <c r="AK101" s="16"/>
      <c r="AL101" s="16"/>
      <c r="AM101" s="16"/>
      <c r="AN101" s="98"/>
      <c r="AO101" s="16"/>
      <c r="AP101" s="16"/>
      <c r="AQ101" s="16"/>
      <c r="AR101" s="104"/>
      <c r="AS101" s="16"/>
      <c r="AT101" s="16"/>
      <c r="AU101" s="16"/>
      <c r="AV101" s="117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J101" s="1" t="s">
        <v>144</v>
      </c>
    </row>
    <row r="102" spans="1:88" x14ac:dyDescent="0.3">
      <c r="B102" s="85" t="s">
        <v>72</v>
      </c>
      <c r="D102" s="12"/>
      <c r="F102" s="15"/>
      <c r="G102" s="13"/>
      <c r="I102" s="15"/>
      <c r="J102" s="15"/>
      <c r="K102" s="135"/>
      <c r="L102" s="135"/>
      <c r="N102" s="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92"/>
      <c r="AJ102" s="16"/>
      <c r="AK102" s="16"/>
      <c r="AL102" s="16"/>
      <c r="AM102" s="16"/>
      <c r="AN102" s="98"/>
      <c r="AO102" s="16"/>
      <c r="AP102" s="16"/>
      <c r="AQ102" s="16"/>
      <c r="AR102" s="104"/>
      <c r="AS102" s="16"/>
      <c r="AT102" s="16"/>
      <c r="AU102" s="16"/>
      <c r="AV102" s="117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J102" s="1" t="s">
        <v>144</v>
      </c>
    </row>
    <row r="103" spans="1:88" x14ac:dyDescent="0.3">
      <c r="B103" s="57" t="s">
        <v>19</v>
      </c>
      <c r="C103" s="58" t="s">
        <v>16</v>
      </c>
      <c r="D103" s="59" t="str">
        <f t="shared" ref="D103:D108" si="89">VLOOKUP(B103,Rate_Table,2,0)</f>
        <v>Muhammed Kurt</v>
      </c>
      <c r="E103" s="60">
        <f t="shared" si="58"/>
        <v>200</v>
      </c>
      <c r="F103" s="61" t="e">
        <f t="shared" si="59"/>
        <v>#VALUE!</v>
      </c>
      <c r="G103" s="62">
        <v>2500</v>
      </c>
      <c r="H103" s="60">
        <f t="shared" ref="H103:H108" si="90">INT(COUNT(O103:CI103)*1)</f>
        <v>4</v>
      </c>
      <c r="I103" s="61">
        <f t="shared" si="61"/>
        <v>10000</v>
      </c>
      <c r="J103" s="61" t="e">
        <f t="shared" si="62"/>
        <v>#VALUE!</v>
      </c>
      <c r="K103" s="139" cm="1">
        <f t="array" ref="K103">IFERROR(INDEX($O$6:$EM$6,MATCH(TRUE,O103:EM103&lt;&gt;"",0)),"")</f>
        <v>46313</v>
      </c>
      <c r="L103" s="139" cm="1">
        <f t="array" ref="L103">IFERROR(INDEX($O$6:$CI$6,_xlfn.XMATCH(1,(O103:CI103&lt;&gt;"")*1,,-1))-1,"")</f>
        <v>46333</v>
      </c>
      <c r="M103" s="60">
        <f t="shared" si="72"/>
        <v>5</v>
      </c>
      <c r="N103" s="63">
        <f t="shared" ref="N103:N106" si="91">IFERROR(K103+1,"")</f>
        <v>46314</v>
      </c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92"/>
      <c r="AJ103" s="60"/>
      <c r="AK103" s="60"/>
      <c r="AL103" s="60"/>
      <c r="AM103" s="60"/>
      <c r="AN103" s="98"/>
      <c r="AO103" s="60"/>
      <c r="AP103" s="60"/>
      <c r="AQ103" s="60"/>
      <c r="AR103" s="104"/>
      <c r="AS103" s="60"/>
      <c r="AT103" s="60"/>
      <c r="AU103" s="60"/>
      <c r="AV103" s="117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>
        <v>50</v>
      </c>
      <c r="BH103" s="60">
        <v>50</v>
      </c>
      <c r="BI103" s="60">
        <v>50</v>
      </c>
      <c r="BJ103" s="60">
        <v>50</v>
      </c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58"/>
      <c r="CG103" s="58"/>
      <c r="CH103" s="58"/>
      <c r="CI103" s="58"/>
      <c r="CJ103" s="58" t="s">
        <v>144</v>
      </c>
    </row>
    <row r="104" spans="1:88" x14ac:dyDescent="0.3">
      <c r="B104" s="57" t="s">
        <v>20</v>
      </c>
      <c r="C104" s="58" t="s">
        <v>16</v>
      </c>
      <c r="D104" s="59" t="str">
        <f t="shared" si="89"/>
        <v>Carter Corey</v>
      </c>
      <c r="E104" s="60">
        <f t="shared" si="58"/>
        <v>200</v>
      </c>
      <c r="F104" s="61" t="e">
        <f t="shared" si="59"/>
        <v>#VALUE!</v>
      </c>
      <c r="G104" s="62">
        <v>2500</v>
      </c>
      <c r="H104" s="60">
        <f t="shared" si="90"/>
        <v>4</v>
      </c>
      <c r="I104" s="61">
        <f t="shared" si="61"/>
        <v>10000</v>
      </c>
      <c r="J104" s="61" t="e">
        <f t="shared" si="62"/>
        <v>#VALUE!</v>
      </c>
      <c r="K104" s="139" cm="1">
        <f t="array" ref="K104">IFERROR(INDEX($O$6:$EM$6,MATCH(TRUE,O104:EM104&lt;&gt;"",0)),"")</f>
        <v>46313</v>
      </c>
      <c r="L104" s="139" cm="1">
        <f t="array" ref="L104">IFERROR(INDEX($O$6:$CI$6,_xlfn.XMATCH(1,(O104:CI104&lt;&gt;"")*1,,-1))-1,"")</f>
        <v>46333</v>
      </c>
      <c r="M104" s="60">
        <f t="shared" si="72"/>
        <v>5</v>
      </c>
      <c r="N104" s="63">
        <f t="shared" si="91"/>
        <v>46314</v>
      </c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92"/>
      <c r="AJ104" s="60"/>
      <c r="AK104" s="60"/>
      <c r="AL104" s="60"/>
      <c r="AM104" s="60"/>
      <c r="AN104" s="98"/>
      <c r="AO104" s="60"/>
      <c r="AP104" s="60"/>
      <c r="AQ104" s="60"/>
      <c r="AR104" s="104"/>
      <c r="AS104" s="60"/>
      <c r="AT104" s="60"/>
      <c r="AU104" s="60"/>
      <c r="AV104" s="117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>
        <v>50</v>
      </c>
      <c r="BH104" s="60">
        <v>50</v>
      </c>
      <c r="BI104" s="60">
        <v>50</v>
      </c>
      <c r="BJ104" s="60">
        <v>50</v>
      </c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58"/>
      <c r="CG104" s="58"/>
      <c r="CH104" s="58"/>
      <c r="CI104" s="58"/>
      <c r="CJ104" s="58" t="s">
        <v>144</v>
      </c>
    </row>
    <row r="105" spans="1:88" x14ac:dyDescent="0.3">
      <c r="B105" s="51" t="s">
        <v>59</v>
      </c>
      <c r="C105" s="44" t="s">
        <v>16</v>
      </c>
      <c r="D105" s="52" t="str">
        <f t="shared" si="89"/>
        <v>Kevin Duong</v>
      </c>
      <c r="E105" s="53">
        <f t="shared" si="58"/>
        <v>200</v>
      </c>
      <c r="F105" s="54" t="e">
        <f t="shared" si="59"/>
        <v>#VALUE!</v>
      </c>
      <c r="G105" s="55">
        <v>2500</v>
      </c>
      <c r="H105" s="53">
        <f t="shared" si="90"/>
        <v>4</v>
      </c>
      <c r="I105" s="54">
        <f t="shared" si="61"/>
        <v>10000</v>
      </c>
      <c r="J105" s="54" t="e">
        <f t="shared" si="62"/>
        <v>#VALUE!</v>
      </c>
      <c r="K105" s="140" cm="1">
        <f t="array" ref="K105">IFERROR(INDEX($O$6:$EM$6,MATCH(TRUE,O105:EM105&lt;&gt;"",0)),"")</f>
        <v>46313</v>
      </c>
      <c r="L105" s="140" cm="1">
        <f t="array" ref="L105">IFERROR(INDEX($O$6:$CI$6,_xlfn.XMATCH(1,(O105:CI105&lt;&gt;"")*1,,-1))-1,"")</f>
        <v>46333</v>
      </c>
      <c r="M105" s="53">
        <f t="shared" si="72"/>
        <v>5</v>
      </c>
      <c r="N105" s="56">
        <f t="shared" si="91"/>
        <v>46314</v>
      </c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92"/>
      <c r="AJ105" s="53"/>
      <c r="AK105" s="53"/>
      <c r="AL105" s="53"/>
      <c r="AM105" s="53"/>
      <c r="AN105" s="98"/>
      <c r="AO105" s="53"/>
      <c r="AP105" s="53"/>
      <c r="AQ105" s="53"/>
      <c r="AR105" s="104"/>
      <c r="AS105" s="53"/>
      <c r="AT105" s="53"/>
      <c r="AU105" s="53"/>
      <c r="AV105" s="117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>
        <v>50</v>
      </c>
      <c r="BH105" s="53">
        <v>50</v>
      </c>
      <c r="BI105" s="53">
        <v>50</v>
      </c>
      <c r="BJ105" s="53">
        <v>50</v>
      </c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44"/>
      <c r="CG105" s="44"/>
      <c r="CH105" s="44"/>
      <c r="CI105" s="44"/>
      <c r="CJ105" s="44" t="s">
        <v>144</v>
      </c>
    </row>
    <row r="106" spans="1:88" x14ac:dyDescent="0.3">
      <c r="B106" s="57" t="s">
        <v>21</v>
      </c>
      <c r="C106" s="58" t="s">
        <v>16</v>
      </c>
      <c r="D106" s="59" t="str">
        <f t="shared" si="89"/>
        <v>Connor Paxton</v>
      </c>
      <c r="E106" s="60">
        <f t="shared" si="58"/>
        <v>200</v>
      </c>
      <c r="F106" s="61" t="e">
        <f t="shared" si="59"/>
        <v>#VALUE!</v>
      </c>
      <c r="G106" s="62">
        <v>2500</v>
      </c>
      <c r="H106" s="60">
        <f t="shared" si="90"/>
        <v>4</v>
      </c>
      <c r="I106" s="61">
        <f t="shared" si="61"/>
        <v>10000</v>
      </c>
      <c r="J106" s="61" t="e">
        <f t="shared" si="62"/>
        <v>#VALUE!</v>
      </c>
      <c r="K106" s="139" cm="1">
        <f t="array" ref="K106">IFERROR(INDEX($O$6:$EM$6,MATCH(TRUE,O106:EM106&lt;&gt;"",0)),"")</f>
        <v>46313</v>
      </c>
      <c r="L106" s="139" cm="1">
        <f t="array" ref="L106">IFERROR(INDEX($O$6:$CI$6,_xlfn.XMATCH(1,(O106:CI106&lt;&gt;"")*1,,-1))-1,"")</f>
        <v>46333</v>
      </c>
      <c r="M106" s="60">
        <f t="shared" si="72"/>
        <v>5</v>
      </c>
      <c r="N106" s="63">
        <f t="shared" si="91"/>
        <v>46314</v>
      </c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92"/>
      <c r="AJ106" s="60"/>
      <c r="AK106" s="60"/>
      <c r="AL106" s="60"/>
      <c r="AM106" s="60"/>
      <c r="AN106" s="98"/>
      <c r="AO106" s="60"/>
      <c r="AP106" s="60"/>
      <c r="AQ106" s="60"/>
      <c r="AR106" s="104"/>
      <c r="AS106" s="60"/>
      <c r="AT106" s="60"/>
      <c r="AU106" s="60"/>
      <c r="AV106" s="117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>
        <v>50</v>
      </c>
      <c r="BH106" s="60">
        <v>50</v>
      </c>
      <c r="BI106" s="60">
        <v>50</v>
      </c>
      <c r="BJ106" s="60">
        <v>50</v>
      </c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58"/>
      <c r="CG106" s="58"/>
      <c r="CH106" s="58"/>
      <c r="CI106" s="58"/>
      <c r="CJ106" s="58" t="s">
        <v>144</v>
      </c>
    </row>
    <row r="107" spans="1:88" x14ac:dyDescent="0.3">
      <c r="B107" s="57" t="s">
        <v>22</v>
      </c>
      <c r="C107" s="58" t="s">
        <v>16</v>
      </c>
      <c r="D107" s="59" t="str">
        <f t="shared" si="89"/>
        <v>Kedric Benford</v>
      </c>
      <c r="E107" s="60">
        <f t="shared" ref="E107:E108" si="92">SUM(O107:CI107)</f>
        <v>200</v>
      </c>
      <c r="F107" s="61" t="e">
        <f t="shared" ref="F107:F108" si="93">E107*D107</f>
        <v>#VALUE!</v>
      </c>
      <c r="G107" s="62">
        <v>2500</v>
      </c>
      <c r="H107" s="60">
        <f t="shared" si="90"/>
        <v>4</v>
      </c>
      <c r="I107" s="61">
        <f t="shared" ref="I107:I108" si="94">H107*G107</f>
        <v>10000</v>
      </c>
      <c r="J107" s="61" t="e">
        <f t="shared" ref="J107:J108" si="95">SUM(F107,I107)</f>
        <v>#VALUE!</v>
      </c>
      <c r="K107" s="139" cm="1">
        <f t="array" ref="K107">IFERROR(INDEX($O$6:$EM$6,MATCH(TRUE,O107:EM107&lt;&gt;"",0)),"")</f>
        <v>46313</v>
      </c>
      <c r="L107" s="139" cm="1">
        <f t="array" ref="L107">IFERROR(INDEX($O$6:$CI$6,_xlfn.XMATCH(1,(O107:CI107&lt;&gt;"")*1,,-1))-1,"")</f>
        <v>46333</v>
      </c>
      <c r="M107" s="60">
        <f t="shared" ref="M107:M108" si="96">COUNTA(O107:EM107)</f>
        <v>5</v>
      </c>
      <c r="N107" s="63">
        <f t="shared" ref="N107:N108" si="97">IFERROR(K107+1,"")</f>
        <v>46314</v>
      </c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92"/>
      <c r="AJ107" s="60"/>
      <c r="AK107" s="60"/>
      <c r="AL107" s="60"/>
      <c r="AM107" s="60"/>
      <c r="AN107" s="98"/>
      <c r="AO107" s="60"/>
      <c r="AP107" s="60"/>
      <c r="AQ107" s="60"/>
      <c r="AR107" s="104"/>
      <c r="AS107" s="60"/>
      <c r="AT107" s="60"/>
      <c r="AU107" s="60"/>
      <c r="AV107" s="117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>
        <v>50</v>
      </c>
      <c r="BH107" s="60">
        <v>50</v>
      </c>
      <c r="BI107" s="60">
        <v>50</v>
      </c>
      <c r="BJ107" s="60">
        <v>50</v>
      </c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58"/>
      <c r="CG107" s="58"/>
      <c r="CH107" s="58"/>
      <c r="CI107" s="58"/>
      <c r="CJ107" s="58" t="s">
        <v>144</v>
      </c>
    </row>
    <row r="108" spans="1:88" x14ac:dyDescent="0.3">
      <c r="B108" s="51" t="s">
        <v>60</v>
      </c>
      <c r="C108" s="44" t="s">
        <v>16</v>
      </c>
      <c r="D108" s="52" t="str">
        <f t="shared" si="89"/>
        <v>Mohamed Ben-Salah</v>
      </c>
      <c r="E108" s="53">
        <f t="shared" si="92"/>
        <v>200</v>
      </c>
      <c r="F108" s="54" t="e">
        <f t="shared" si="93"/>
        <v>#VALUE!</v>
      </c>
      <c r="G108" s="55">
        <v>2500</v>
      </c>
      <c r="H108" s="53">
        <f t="shared" si="90"/>
        <v>4</v>
      </c>
      <c r="I108" s="54">
        <f t="shared" si="94"/>
        <v>10000</v>
      </c>
      <c r="J108" s="54" t="e">
        <f t="shared" si="95"/>
        <v>#VALUE!</v>
      </c>
      <c r="K108" s="140" cm="1">
        <f t="array" ref="K108">IFERROR(INDEX($O$6:$EM$6,MATCH(TRUE,O108:EM108&lt;&gt;"",0)),"")</f>
        <v>46313</v>
      </c>
      <c r="L108" s="140" cm="1">
        <f t="array" ref="L108">IFERROR(INDEX($O$6:$CI$6,_xlfn.XMATCH(1,(O108:CI108&lt;&gt;"")*1,,-1))-1,"")</f>
        <v>46333</v>
      </c>
      <c r="M108" s="53">
        <f t="shared" si="96"/>
        <v>5</v>
      </c>
      <c r="N108" s="56">
        <f t="shared" si="97"/>
        <v>46314</v>
      </c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92"/>
      <c r="AJ108" s="53"/>
      <c r="AK108" s="53"/>
      <c r="AL108" s="53"/>
      <c r="AM108" s="53"/>
      <c r="AN108" s="98"/>
      <c r="AO108" s="53"/>
      <c r="AP108" s="53"/>
      <c r="AQ108" s="53"/>
      <c r="AR108" s="104"/>
      <c r="AS108" s="53"/>
      <c r="AT108" s="53"/>
      <c r="AU108" s="53"/>
      <c r="AV108" s="117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>
        <v>50</v>
      </c>
      <c r="BH108" s="53">
        <v>50</v>
      </c>
      <c r="BI108" s="53">
        <v>50</v>
      </c>
      <c r="BJ108" s="53">
        <v>50</v>
      </c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44"/>
      <c r="CG108" s="44"/>
      <c r="CH108" s="44"/>
      <c r="CI108" s="44"/>
      <c r="CJ108" s="44" t="s">
        <v>144</v>
      </c>
    </row>
    <row r="109" spans="1:88" x14ac:dyDescent="0.3">
      <c r="B109" s="8" t="s">
        <v>32</v>
      </c>
      <c r="D109" s="12"/>
      <c r="F109" s="15"/>
      <c r="G109" s="13"/>
      <c r="I109" s="15"/>
      <c r="J109" s="15"/>
      <c r="K109" s="135"/>
      <c r="L109" s="135"/>
      <c r="N109" s="5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92"/>
      <c r="AJ109" s="16"/>
      <c r="AK109" s="16"/>
      <c r="AL109" s="16"/>
      <c r="AM109" s="16"/>
      <c r="AN109" s="98"/>
      <c r="AO109" s="16"/>
      <c r="AP109" s="16"/>
      <c r="AQ109" s="16"/>
      <c r="AR109" s="104"/>
      <c r="AS109" s="16"/>
      <c r="AT109" s="16"/>
      <c r="AU109" s="16"/>
      <c r="AV109" s="117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J109" s="1" t="s">
        <v>144</v>
      </c>
    </row>
    <row r="110" spans="1:88" x14ac:dyDescent="0.3">
      <c r="B110" s="57" t="s">
        <v>19</v>
      </c>
      <c r="C110" s="58" t="s">
        <v>16</v>
      </c>
      <c r="D110" s="59" t="str">
        <f t="shared" ref="D110:D115" si="98">VLOOKUP(B110,Rate_Table,2,0)</f>
        <v>Muhammed Kurt</v>
      </c>
      <c r="E110" s="60">
        <f t="shared" si="58"/>
        <v>100</v>
      </c>
      <c r="F110" s="61" t="e">
        <f t="shared" si="59"/>
        <v>#VALUE!</v>
      </c>
      <c r="G110" s="62">
        <v>2500</v>
      </c>
      <c r="H110" s="60">
        <f t="shared" ref="H110:H115" si="99">INT(COUNT(O110:CI110)*1)</f>
        <v>2</v>
      </c>
      <c r="I110" s="61">
        <f t="shared" si="61"/>
        <v>5000</v>
      </c>
      <c r="J110" s="61" t="e">
        <f t="shared" si="62"/>
        <v>#VALUE!</v>
      </c>
      <c r="K110" s="139" cm="1">
        <f t="array" ref="K110">IFERROR(INDEX($O$6:$EM$6,MATCH(TRUE,O110:EM110&lt;&gt;"",0)),"")</f>
        <v>46341</v>
      </c>
      <c r="L110" s="139" cm="1">
        <f t="array" ref="L110">IFERROR(INDEX($O$6:$CI$6,_xlfn.XMATCH(1,(O110:CI110&lt;&gt;"")*1,,-1))-1,"")</f>
        <v>46347</v>
      </c>
      <c r="M110" s="60">
        <f t="shared" si="72"/>
        <v>3</v>
      </c>
      <c r="N110" s="63">
        <f t="shared" ref="N110:N113" si="100">IFERROR(K110+1,"")</f>
        <v>46342</v>
      </c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92"/>
      <c r="AJ110" s="60"/>
      <c r="AK110" s="60"/>
      <c r="AL110" s="60"/>
      <c r="AM110" s="60"/>
      <c r="AN110" s="98"/>
      <c r="AO110" s="60"/>
      <c r="AP110" s="60"/>
      <c r="AQ110" s="60"/>
      <c r="AR110" s="104"/>
      <c r="AS110" s="60"/>
      <c r="AT110" s="60"/>
      <c r="AU110" s="60"/>
      <c r="AV110" s="117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>
        <v>50</v>
      </c>
      <c r="BL110" s="60">
        <v>50</v>
      </c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58"/>
      <c r="CG110" s="58"/>
      <c r="CH110" s="58"/>
      <c r="CI110" s="58"/>
      <c r="CJ110" s="58" t="s">
        <v>144</v>
      </c>
    </row>
    <row r="111" spans="1:88" x14ac:dyDescent="0.3">
      <c r="B111" s="57" t="s">
        <v>20</v>
      </c>
      <c r="C111" s="58" t="s">
        <v>16</v>
      </c>
      <c r="D111" s="59" t="str">
        <f t="shared" si="98"/>
        <v>Carter Corey</v>
      </c>
      <c r="E111" s="60">
        <f t="shared" si="58"/>
        <v>100</v>
      </c>
      <c r="F111" s="61" t="e">
        <f t="shared" si="59"/>
        <v>#VALUE!</v>
      </c>
      <c r="G111" s="62">
        <v>2500</v>
      </c>
      <c r="H111" s="60">
        <f t="shared" si="99"/>
        <v>2</v>
      </c>
      <c r="I111" s="61">
        <f t="shared" si="61"/>
        <v>5000</v>
      </c>
      <c r="J111" s="61" t="e">
        <f t="shared" si="62"/>
        <v>#VALUE!</v>
      </c>
      <c r="K111" s="139" cm="1">
        <f t="array" ref="K111">IFERROR(INDEX($O$6:$EM$6,MATCH(TRUE,O111:EM111&lt;&gt;"",0)),"")</f>
        <v>46341</v>
      </c>
      <c r="L111" s="139" cm="1">
        <f t="array" ref="L111">IFERROR(INDEX($O$6:$CI$6,_xlfn.XMATCH(1,(O111:CI111&lt;&gt;"")*1,,-1))-1,"")</f>
        <v>46347</v>
      </c>
      <c r="M111" s="60">
        <f t="shared" si="72"/>
        <v>3</v>
      </c>
      <c r="N111" s="63">
        <f t="shared" si="100"/>
        <v>46342</v>
      </c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92"/>
      <c r="AJ111" s="60"/>
      <c r="AK111" s="60"/>
      <c r="AL111" s="60"/>
      <c r="AM111" s="60"/>
      <c r="AN111" s="98"/>
      <c r="AO111" s="60"/>
      <c r="AP111" s="60"/>
      <c r="AQ111" s="60"/>
      <c r="AR111" s="104"/>
      <c r="AS111" s="60"/>
      <c r="AT111" s="60"/>
      <c r="AU111" s="60"/>
      <c r="AV111" s="117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>
        <v>50</v>
      </c>
      <c r="BL111" s="60">
        <v>50</v>
      </c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58"/>
      <c r="CG111" s="58"/>
      <c r="CH111" s="58"/>
      <c r="CI111" s="58"/>
      <c r="CJ111" s="58" t="s">
        <v>144</v>
      </c>
    </row>
    <row r="112" spans="1:88" x14ac:dyDescent="0.3">
      <c r="B112" s="51" t="s">
        <v>59</v>
      </c>
      <c r="C112" s="44" t="s">
        <v>16</v>
      </c>
      <c r="D112" s="52" t="str">
        <f t="shared" si="98"/>
        <v>Kevin Duong</v>
      </c>
      <c r="E112" s="53">
        <f t="shared" si="58"/>
        <v>100</v>
      </c>
      <c r="F112" s="54" t="e">
        <f t="shared" si="59"/>
        <v>#VALUE!</v>
      </c>
      <c r="G112" s="55">
        <v>2500</v>
      </c>
      <c r="H112" s="53">
        <f t="shared" si="99"/>
        <v>2</v>
      </c>
      <c r="I112" s="54">
        <f t="shared" si="61"/>
        <v>5000</v>
      </c>
      <c r="J112" s="54" t="e">
        <f t="shared" si="62"/>
        <v>#VALUE!</v>
      </c>
      <c r="K112" s="140" cm="1">
        <f t="array" ref="K112">IFERROR(INDEX($O$6:$EM$6,MATCH(TRUE,O112:EM112&lt;&gt;"",0)),"")</f>
        <v>46341</v>
      </c>
      <c r="L112" s="140" cm="1">
        <f t="array" ref="L112">IFERROR(INDEX($O$6:$CI$6,_xlfn.XMATCH(1,(O112:CI112&lt;&gt;"")*1,,-1))-1,"")</f>
        <v>46347</v>
      </c>
      <c r="M112" s="53">
        <f t="shared" si="72"/>
        <v>3</v>
      </c>
      <c r="N112" s="56">
        <f t="shared" si="100"/>
        <v>46342</v>
      </c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92"/>
      <c r="AJ112" s="53"/>
      <c r="AK112" s="53"/>
      <c r="AL112" s="53"/>
      <c r="AM112" s="53"/>
      <c r="AN112" s="98"/>
      <c r="AO112" s="53"/>
      <c r="AP112" s="53"/>
      <c r="AQ112" s="53"/>
      <c r="AR112" s="104"/>
      <c r="AS112" s="53"/>
      <c r="AT112" s="53"/>
      <c r="AU112" s="53"/>
      <c r="AV112" s="117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>
        <v>50</v>
      </c>
      <c r="BL112" s="53">
        <v>50</v>
      </c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44"/>
      <c r="CG112" s="44"/>
      <c r="CH112" s="44"/>
      <c r="CI112" s="44"/>
      <c r="CJ112" s="44" t="s">
        <v>144</v>
      </c>
    </row>
    <row r="113" spans="1:88" x14ac:dyDescent="0.3">
      <c r="B113" s="57" t="s">
        <v>21</v>
      </c>
      <c r="C113" s="58" t="s">
        <v>16</v>
      </c>
      <c r="D113" s="59" t="str">
        <f t="shared" si="98"/>
        <v>Connor Paxton</v>
      </c>
      <c r="E113" s="60">
        <f t="shared" si="58"/>
        <v>100</v>
      </c>
      <c r="F113" s="61" t="e">
        <f t="shared" si="59"/>
        <v>#VALUE!</v>
      </c>
      <c r="G113" s="62">
        <v>2500</v>
      </c>
      <c r="H113" s="60">
        <f t="shared" si="99"/>
        <v>2</v>
      </c>
      <c r="I113" s="61">
        <f t="shared" si="61"/>
        <v>5000</v>
      </c>
      <c r="J113" s="61" t="e">
        <f t="shared" si="62"/>
        <v>#VALUE!</v>
      </c>
      <c r="K113" s="139" cm="1">
        <f t="array" ref="K113">IFERROR(INDEX($O$6:$EM$6,MATCH(TRUE,O113:EM113&lt;&gt;"",0)),"")</f>
        <v>46341</v>
      </c>
      <c r="L113" s="139" cm="1">
        <f t="array" ref="L113">IFERROR(INDEX($O$6:$CI$6,_xlfn.XMATCH(1,(O113:CI113&lt;&gt;"")*1,,-1))-1,"")</f>
        <v>46347</v>
      </c>
      <c r="M113" s="60">
        <f t="shared" si="72"/>
        <v>3</v>
      </c>
      <c r="N113" s="63">
        <f t="shared" si="100"/>
        <v>46342</v>
      </c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92"/>
      <c r="AJ113" s="60"/>
      <c r="AK113" s="60"/>
      <c r="AL113" s="60"/>
      <c r="AM113" s="60"/>
      <c r="AN113" s="98"/>
      <c r="AO113" s="60"/>
      <c r="AP113" s="60"/>
      <c r="AQ113" s="60"/>
      <c r="AR113" s="104"/>
      <c r="AS113" s="60"/>
      <c r="AT113" s="60"/>
      <c r="AU113" s="60"/>
      <c r="AV113" s="117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>
        <v>50</v>
      </c>
      <c r="BL113" s="60">
        <v>50</v>
      </c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58"/>
      <c r="CG113" s="58"/>
      <c r="CH113" s="58"/>
      <c r="CI113" s="58"/>
      <c r="CJ113" s="58" t="s">
        <v>144</v>
      </c>
    </row>
    <row r="114" spans="1:88" x14ac:dyDescent="0.3">
      <c r="B114" s="57" t="s">
        <v>22</v>
      </c>
      <c r="C114" s="58" t="s">
        <v>16</v>
      </c>
      <c r="D114" s="59" t="str">
        <f t="shared" si="98"/>
        <v>Kedric Benford</v>
      </c>
      <c r="E114" s="60">
        <f t="shared" ref="E114:E115" si="101">SUM(O114:CI114)</f>
        <v>100</v>
      </c>
      <c r="F114" s="61" t="e">
        <f t="shared" ref="F114:F115" si="102">E114*D114</f>
        <v>#VALUE!</v>
      </c>
      <c r="G114" s="62">
        <v>2500</v>
      </c>
      <c r="H114" s="60">
        <f t="shared" si="99"/>
        <v>2</v>
      </c>
      <c r="I114" s="61">
        <f t="shared" ref="I114:I115" si="103">H114*G114</f>
        <v>5000</v>
      </c>
      <c r="J114" s="61" t="e">
        <f t="shared" ref="J114:J115" si="104">SUM(F114,I114)</f>
        <v>#VALUE!</v>
      </c>
      <c r="K114" s="139" cm="1">
        <f t="array" ref="K114">IFERROR(INDEX($O$6:$EM$6,MATCH(TRUE,O114:EM114&lt;&gt;"",0)),"")</f>
        <v>46341</v>
      </c>
      <c r="L114" s="139" cm="1">
        <f t="array" ref="L114">IFERROR(INDEX($O$6:$CI$6,_xlfn.XMATCH(1,(O114:CI114&lt;&gt;"")*1,,-1))-1,"")</f>
        <v>46347</v>
      </c>
      <c r="M114" s="60">
        <f t="shared" ref="M114:M115" si="105">COUNTA(O114:EM114)</f>
        <v>3</v>
      </c>
      <c r="N114" s="63">
        <f t="shared" ref="N114:N115" si="106">IFERROR(K114+1,"")</f>
        <v>46342</v>
      </c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92"/>
      <c r="AJ114" s="60"/>
      <c r="AK114" s="60"/>
      <c r="AL114" s="60"/>
      <c r="AM114" s="60"/>
      <c r="AN114" s="98"/>
      <c r="AO114" s="60"/>
      <c r="AP114" s="60"/>
      <c r="AQ114" s="60"/>
      <c r="AR114" s="104"/>
      <c r="AS114" s="60"/>
      <c r="AT114" s="60"/>
      <c r="AU114" s="60"/>
      <c r="AV114" s="117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>
        <v>50</v>
      </c>
      <c r="BL114" s="60">
        <v>50</v>
      </c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58"/>
      <c r="CG114" s="58"/>
      <c r="CH114" s="58"/>
      <c r="CI114" s="58"/>
      <c r="CJ114" s="58" t="s">
        <v>144</v>
      </c>
    </row>
    <row r="115" spans="1:88" x14ac:dyDescent="0.3">
      <c r="B115" s="51" t="s">
        <v>60</v>
      </c>
      <c r="C115" s="44" t="s">
        <v>16</v>
      </c>
      <c r="D115" s="52" t="str">
        <f t="shared" si="98"/>
        <v>Mohamed Ben-Salah</v>
      </c>
      <c r="E115" s="53">
        <f t="shared" si="101"/>
        <v>100</v>
      </c>
      <c r="F115" s="54" t="e">
        <f t="shared" si="102"/>
        <v>#VALUE!</v>
      </c>
      <c r="G115" s="55">
        <v>2500</v>
      </c>
      <c r="H115" s="53">
        <f t="shared" si="99"/>
        <v>2</v>
      </c>
      <c r="I115" s="54">
        <f t="shared" si="103"/>
        <v>5000</v>
      </c>
      <c r="J115" s="54" t="e">
        <f t="shared" si="104"/>
        <v>#VALUE!</v>
      </c>
      <c r="K115" s="140" cm="1">
        <f t="array" ref="K115">IFERROR(INDEX($O$6:$EM$6,MATCH(TRUE,O115:EM115&lt;&gt;"",0)),"")</f>
        <v>46341</v>
      </c>
      <c r="L115" s="140" cm="1">
        <f t="array" ref="L115">IFERROR(INDEX($O$6:$CI$6,_xlfn.XMATCH(1,(O115:CI115&lt;&gt;"")*1,,-1))-1,"")</f>
        <v>46347</v>
      </c>
      <c r="M115" s="53">
        <f t="shared" si="105"/>
        <v>3</v>
      </c>
      <c r="N115" s="56">
        <f t="shared" si="106"/>
        <v>46342</v>
      </c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92"/>
      <c r="AJ115" s="53"/>
      <c r="AK115" s="53"/>
      <c r="AL115" s="53"/>
      <c r="AM115" s="53"/>
      <c r="AN115" s="98"/>
      <c r="AO115" s="53"/>
      <c r="AP115" s="53"/>
      <c r="AQ115" s="53"/>
      <c r="AR115" s="104"/>
      <c r="AS115" s="53"/>
      <c r="AT115" s="53"/>
      <c r="AU115" s="53"/>
      <c r="AV115" s="117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>
        <v>50</v>
      </c>
      <c r="BL115" s="53">
        <v>50</v>
      </c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44"/>
      <c r="CG115" s="44"/>
      <c r="CH115" s="44"/>
      <c r="CI115" s="44"/>
      <c r="CJ115" s="44" t="s">
        <v>144</v>
      </c>
    </row>
    <row r="116" spans="1:88" s="18" customFormat="1" ht="15.6" x14ac:dyDescent="0.3">
      <c r="A116" s="21" t="s">
        <v>67</v>
      </c>
      <c r="B116" s="21"/>
      <c r="C116" s="22"/>
      <c r="D116" s="23"/>
      <c r="E116" s="24">
        <f>SUM(E103:E115)</f>
        <v>1800</v>
      </c>
      <c r="F116" s="25" t="e">
        <f>SUM(F103:F115)</f>
        <v>#VALUE!</v>
      </c>
      <c r="G116" s="26"/>
      <c r="H116" s="24"/>
      <c r="I116" s="25">
        <f>SUM(I103:I115)</f>
        <v>90000</v>
      </c>
      <c r="J116" s="25" t="e">
        <f>SUM(J103:J115)</f>
        <v>#VALUE!</v>
      </c>
      <c r="K116" s="138"/>
      <c r="L116" s="138"/>
      <c r="M116" s="24"/>
      <c r="N116" s="27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93"/>
      <c r="AJ116" s="24"/>
      <c r="AK116" s="24"/>
      <c r="AL116" s="24"/>
      <c r="AM116" s="24"/>
      <c r="AN116" s="99"/>
      <c r="AO116" s="24"/>
      <c r="AP116" s="24"/>
      <c r="AQ116" s="24"/>
      <c r="AR116" s="105"/>
      <c r="AS116" s="24"/>
      <c r="AT116" s="24"/>
      <c r="AU116" s="24"/>
      <c r="AV116" s="118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2"/>
      <c r="CG116" s="22"/>
      <c r="CH116" s="22"/>
      <c r="CI116" s="22"/>
      <c r="CJ116" s="1" t="s">
        <v>144</v>
      </c>
    </row>
    <row r="117" spans="1:88" x14ac:dyDescent="0.3">
      <c r="B117" s="7"/>
      <c r="D117" s="12"/>
      <c r="F117" s="15"/>
      <c r="G117" s="13"/>
      <c r="I117" s="15"/>
      <c r="J117" s="15"/>
      <c r="K117" s="135"/>
      <c r="L117" s="135"/>
      <c r="N117" s="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92"/>
      <c r="AJ117" s="16"/>
      <c r="AK117" s="16"/>
      <c r="AL117" s="16"/>
      <c r="AM117" s="16"/>
      <c r="AN117" s="98"/>
      <c r="AO117" s="16"/>
      <c r="AP117" s="16"/>
      <c r="AQ117" s="16"/>
      <c r="AR117" s="104"/>
      <c r="AS117" s="16"/>
      <c r="AT117" s="16"/>
      <c r="AU117" s="16"/>
      <c r="AV117" s="117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J117" s="1" t="s">
        <v>144</v>
      </c>
    </row>
    <row r="118" spans="1:88" x14ac:dyDescent="0.3">
      <c r="A118" s="9" t="s">
        <v>33</v>
      </c>
      <c r="B118" s="7"/>
      <c r="D118" s="12"/>
      <c r="F118" s="15"/>
      <c r="G118" s="13"/>
      <c r="I118" s="15"/>
      <c r="J118" s="15"/>
      <c r="K118" s="135"/>
      <c r="L118" s="135"/>
      <c r="N118" s="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92"/>
      <c r="AJ118" s="16"/>
      <c r="AK118" s="16"/>
      <c r="AL118" s="16"/>
      <c r="AM118" s="16"/>
      <c r="AN118" s="98"/>
      <c r="AO118" s="16"/>
      <c r="AP118" s="16"/>
      <c r="AQ118" s="16"/>
      <c r="AR118" s="104"/>
      <c r="AS118" s="16"/>
      <c r="AT118" s="16"/>
      <c r="AU118" s="16"/>
      <c r="AV118" s="117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J118" s="1" t="s">
        <v>144</v>
      </c>
    </row>
    <row r="119" spans="1:88" x14ac:dyDescent="0.3">
      <c r="B119" s="85" t="s">
        <v>146</v>
      </c>
      <c r="D119" s="12"/>
      <c r="F119" s="15"/>
      <c r="G119" s="13"/>
      <c r="I119" s="15"/>
      <c r="J119" s="15"/>
      <c r="K119" s="135"/>
      <c r="L119" s="135"/>
      <c r="N119" s="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92"/>
      <c r="AJ119" s="16"/>
      <c r="AK119" s="16"/>
      <c r="AL119" s="16"/>
      <c r="AM119" s="16"/>
      <c r="AN119" s="98"/>
      <c r="AO119" s="16"/>
      <c r="AP119" s="16"/>
      <c r="AQ119" s="16"/>
      <c r="AR119" s="104"/>
      <c r="AS119" s="16"/>
      <c r="AT119" s="16"/>
      <c r="AU119" s="16"/>
      <c r="AV119" s="117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J119" s="1" t="s">
        <v>144</v>
      </c>
    </row>
    <row r="120" spans="1:88" x14ac:dyDescent="0.3">
      <c r="B120" s="57" t="s">
        <v>17</v>
      </c>
      <c r="C120" s="58" t="s">
        <v>16</v>
      </c>
      <c r="D120" s="59" t="str">
        <f t="shared" ref="D120:D126" si="107">VLOOKUP(B120,Rate_Table,2,0)</f>
        <v>Tyler Dunlap</v>
      </c>
      <c r="E120" s="60">
        <f t="shared" si="58"/>
        <v>210</v>
      </c>
      <c r="F120" s="61" t="e">
        <f t="shared" si="59"/>
        <v>#VALUE!</v>
      </c>
      <c r="G120" s="62">
        <v>2500</v>
      </c>
      <c r="H120" s="60">
        <f t="shared" ref="H120:H126" si="108">INT(COUNT(O120:CI120)*1)</f>
        <v>5</v>
      </c>
      <c r="I120" s="61">
        <f t="shared" si="61"/>
        <v>12500</v>
      </c>
      <c r="J120" s="61" t="e">
        <f t="shared" si="62"/>
        <v>#VALUE!</v>
      </c>
      <c r="K120" s="139" cm="1">
        <f t="array" ref="K120">IFERROR(INDEX($O$6:$EM$6,MATCH(TRUE,O120:EM120&lt;&gt;"",0)),"")</f>
        <v>46348</v>
      </c>
      <c r="L120" s="139" cm="1">
        <f t="array" ref="L120">IFERROR(INDEX($O$6:$CI$6,_xlfn.XMATCH(1,(O120:CI120&lt;&gt;"")*1,,-1))-1,"")</f>
        <v>46375</v>
      </c>
      <c r="M120" s="60">
        <f t="shared" si="72"/>
        <v>6</v>
      </c>
      <c r="N120" s="63">
        <f t="shared" ref="N120:N123" si="109">IFERROR(K120+1,"")</f>
        <v>46349</v>
      </c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92"/>
      <c r="AJ120" s="60"/>
      <c r="AK120" s="60"/>
      <c r="AL120" s="60"/>
      <c r="AM120" s="60"/>
      <c r="AN120" s="98"/>
      <c r="AO120" s="60"/>
      <c r="AP120" s="60"/>
      <c r="AQ120" s="60"/>
      <c r="AR120" s="104"/>
      <c r="AS120" s="60"/>
      <c r="AT120" s="60"/>
      <c r="AU120" s="60"/>
      <c r="AV120" s="117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>
        <v>50</v>
      </c>
      <c r="BM120" s="60">
        <v>30</v>
      </c>
      <c r="BN120" s="60">
        <v>50</v>
      </c>
      <c r="BO120" s="60">
        <v>50</v>
      </c>
      <c r="BP120" s="60">
        <v>30</v>
      </c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58"/>
      <c r="CG120" s="58"/>
      <c r="CH120" s="58"/>
      <c r="CI120" s="58"/>
      <c r="CJ120" s="58" t="s">
        <v>144</v>
      </c>
    </row>
    <row r="121" spans="1:88" x14ac:dyDescent="0.3">
      <c r="B121" s="57" t="s">
        <v>18</v>
      </c>
      <c r="C121" s="58" t="s">
        <v>16</v>
      </c>
      <c r="D121" s="59" t="str">
        <f t="shared" si="107"/>
        <v>Zach Tucker</v>
      </c>
      <c r="E121" s="60">
        <f t="shared" si="58"/>
        <v>210</v>
      </c>
      <c r="F121" s="61" t="e">
        <f t="shared" si="59"/>
        <v>#VALUE!</v>
      </c>
      <c r="G121" s="62">
        <v>2500</v>
      </c>
      <c r="H121" s="60">
        <f t="shared" si="108"/>
        <v>5</v>
      </c>
      <c r="I121" s="61">
        <f t="shared" si="61"/>
        <v>12500</v>
      </c>
      <c r="J121" s="61" t="e">
        <f t="shared" si="62"/>
        <v>#VALUE!</v>
      </c>
      <c r="K121" s="139" cm="1">
        <f t="array" ref="K121">IFERROR(INDEX($O$6:$EM$6,MATCH(TRUE,O121:EM121&lt;&gt;"",0)),"")</f>
        <v>46348</v>
      </c>
      <c r="L121" s="139" cm="1">
        <f t="array" ref="L121">IFERROR(INDEX($O$6:$CI$6,_xlfn.XMATCH(1,(O121:CI121&lt;&gt;"")*1,,-1))-1,"")</f>
        <v>46375</v>
      </c>
      <c r="M121" s="60">
        <f t="shared" si="72"/>
        <v>6</v>
      </c>
      <c r="N121" s="63">
        <f t="shared" si="109"/>
        <v>46349</v>
      </c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92"/>
      <c r="AJ121" s="60"/>
      <c r="AK121" s="60"/>
      <c r="AL121" s="60"/>
      <c r="AM121" s="60"/>
      <c r="AN121" s="98"/>
      <c r="AO121" s="60"/>
      <c r="AP121" s="60"/>
      <c r="AQ121" s="60"/>
      <c r="AR121" s="104"/>
      <c r="AS121" s="60"/>
      <c r="AT121" s="60"/>
      <c r="AU121" s="60"/>
      <c r="AV121" s="117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>
        <v>50</v>
      </c>
      <c r="BM121" s="60">
        <v>30</v>
      </c>
      <c r="BN121" s="60">
        <v>50</v>
      </c>
      <c r="BO121" s="60">
        <v>50</v>
      </c>
      <c r="BP121" s="60">
        <v>30</v>
      </c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58"/>
      <c r="CG121" s="58"/>
      <c r="CH121" s="58"/>
      <c r="CI121" s="58"/>
      <c r="CJ121" s="58" t="s">
        <v>144</v>
      </c>
    </row>
    <row r="122" spans="1:88" x14ac:dyDescent="0.3">
      <c r="B122" s="51" t="s">
        <v>55</v>
      </c>
      <c r="C122" s="44" t="s">
        <v>16</v>
      </c>
      <c r="D122" s="52" t="str">
        <f t="shared" si="107"/>
        <v>Tyler Roady</v>
      </c>
      <c r="E122" s="53">
        <f t="shared" si="58"/>
        <v>210</v>
      </c>
      <c r="F122" s="54" t="e">
        <f t="shared" si="59"/>
        <v>#VALUE!</v>
      </c>
      <c r="G122" s="55">
        <v>2500</v>
      </c>
      <c r="H122" s="53">
        <f t="shared" si="108"/>
        <v>5</v>
      </c>
      <c r="I122" s="54">
        <f t="shared" si="61"/>
        <v>12500</v>
      </c>
      <c r="J122" s="54" t="e">
        <f t="shared" si="62"/>
        <v>#VALUE!</v>
      </c>
      <c r="K122" s="140" cm="1">
        <f t="array" ref="K122">IFERROR(INDEX($O$6:$EM$6,MATCH(TRUE,O122:EM122&lt;&gt;"",0)),"")</f>
        <v>46348</v>
      </c>
      <c r="L122" s="140" cm="1">
        <f t="array" ref="L122">IFERROR(INDEX($O$6:$CI$6,_xlfn.XMATCH(1,(O122:CI122&lt;&gt;"")*1,,-1))-1,"")</f>
        <v>46375</v>
      </c>
      <c r="M122" s="53">
        <f t="shared" si="72"/>
        <v>6</v>
      </c>
      <c r="N122" s="56">
        <f t="shared" si="109"/>
        <v>46349</v>
      </c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92"/>
      <c r="AJ122" s="53"/>
      <c r="AK122" s="53"/>
      <c r="AL122" s="53"/>
      <c r="AM122" s="53"/>
      <c r="AN122" s="98"/>
      <c r="AO122" s="53"/>
      <c r="AP122" s="53"/>
      <c r="AQ122" s="53"/>
      <c r="AR122" s="104"/>
      <c r="AS122" s="53"/>
      <c r="AT122" s="53"/>
      <c r="AU122" s="53"/>
      <c r="AV122" s="117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>
        <v>50</v>
      </c>
      <c r="BM122" s="53">
        <v>30</v>
      </c>
      <c r="BN122" s="53">
        <v>50</v>
      </c>
      <c r="BO122" s="53">
        <v>50</v>
      </c>
      <c r="BP122" s="53">
        <v>30</v>
      </c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44"/>
      <c r="CG122" s="44"/>
      <c r="CH122" s="44"/>
      <c r="CI122" s="44"/>
      <c r="CJ122" s="44" t="s">
        <v>144</v>
      </c>
    </row>
    <row r="123" spans="1:88" x14ac:dyDescent="0.3">
      <c r="B123" s="57" t="s">
        <v>42</v>
      </c>
      <c r="C123" s="58" t="s">
        <v>16</v>
      </c>
      <c r="D123" s="59" t="str">
        <f t="shared" si="107"/>
        <v>Kaenon Stockglausner</v>
      </c>
      <c r="E123" s="60">
        <f t="shared" si="58"/>
        <v>210</v>
      </c>
      <c r="F123" s="61" t="e">
        <f t="shared" si="59"/>
        <v>#VALUE!</v>
      </c>
      <c r="G123" s="62">
        <v>2500</v>
      </c>
      <c r="H123" s="60">
        <f t="shared" si="108"/>
        <v>5</v>
      </c>
      <c r="I123" s="61">
        <f t="shared" si="61"/>
        <v>12500</v>
      </c>
      <c r="J123" s="61" t="e">
        <f t="shared" si="62"/>
        <v>#VALUE!</v>
      </c>
      <c r="K123" s="139" cm="1">
        <f t="array" ref="K123">IFERROR(INDEX($O$6:$EM$6,MATCH(TRUE,O123:EM123&lt;&gt;"",0)),"")</f>
        <v>46348</v>
      </c>
      <c r="L123" s="139" cm="1">
        <f t="array" ref="L123">IFERROR(INDEX($O$6:$CI$6,_xlfn.XMATCH(1,(O123:CI123&lt;&gt;"")*1,,-1))-1,"")</f>
        <v>46375</v>
      </c>
      <c r="M123" s="60">
        <f t="shared" si="72"/>
        <v>6</v>
      </c>
      <c r="N123" s="63">
        <f t="shared" si="109"/>
        <v>46349</v>
      </c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92"/>
      <c r="AJ123" s="60"/>
      <c r="AK123" s="60"/>
      <c r="AL123" s="60"/>
      <c r="AM123" s="60"/>
      <c r="AN123" s="98"/>
      <c r="AO123" s="60"/>
      <c r="AP123" s="60"/>
      <c r="AQ123" s="60"/>
      <c r="AR123" s="104"/>
      <c r="AS123" s="60"/>
      <c r="AT123" s="60"/>
      <c r="AU123" s="60"/>
      <c r="AV123" s="117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>
        <v>50</v>
      </c>
      <c r="BM123" s="60">
        <v>30</v>
      </c>
      <c r="BN123" s="60">
        <v>50</v>
      </c>
      <c r="BO123" s="60">
        <v>50</v>
      </c>
      <c r="BP123" s="60">
        <v>30</v>
      </c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58"/>
      <c r="CG123" s="58"/>
      <c r="CH123" s="58"/>
      <c r="CI123" s="58"/>
      <c r="CJ123" s="58" t="s">
        <v>144</v>
      </c>
    </row>
    <row r="124" spans="1:88" x14ac:dyDescent="0.3">
      <c r="B124" s="57" t="s">
        <v>43</v>
      </c>
      <c r="C124" s="58" t="s">
        <v>16</v>
      </c>
      <c r="D124" s="59">
        <f t="shared" si="107"/>
        <v>0</v>
      </c>
      <c r="E124" s="60">
        <f t="shared" ref="E124:E126" si="110">SUM(O124:CI124)</f>
        <v>210</v>
      </c>
      <c r="F124" s="61">
        <f t="shared" ref="F124:F126" si="111">E124*D124</f>
        <v>0</v>
      </c>
      <c r="G124" s="62">
        <v>2500</v>
      </c>
      <c r="H124" s="60">
        <f t="shared" si="108"/>
        <v>5</v>
      </c>
      <c r="I124" s="61">
        <f t="shared" ref="I124:I126" si="112">H124*G124</f>
        <v>12500</v>
      </c>
      <c r="J124" s="61">
        <f t="shared" ref="J124:J126" si="113">SUM(F124,I124)</f>
        <v>12500</v>
      </c>
      <c r="K124" s="139" cm="1">
        <f t="array" ref="K124">IFERROR(INDEX($O$6:$EM$6,MATCH(TRUE,O124:EM124&lt;&gt;"",0)),"")</f>
        <v>46348</v>
      </c>
      <c r="L124" s="139" cm="1">
        <f t="array" ref="L124">IFERROR(INDEX($O$6:$CI$6,_xlfn.XMATCH(1,(O124:CI124&lt;&gt;"")*1,,-1))-1,"")</f>
        <v>46375</v>
      </c>
      <c r="M124" s="60">
        <f t="shared" ref="M124:M126" si="114">COUNTA(O124:EM124)</f>
        <v>6</v>
      </c>
      <c r="N124" s="63">
        <f t="shared" ref="N124:N126" si="115">IFERROR(K124+1,"")</f>
        <v>46349</v>
      </c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92"/>
      <c r="AJ124" s="60"/>
      <c r="AK124" s="60"/>
      <c r="AL124" s="60"/>
      <c r="AM124" s="60"/>
      <c r="AN124" s="98"/>
      <c r="AO124" s="60"/>
      <c r="AP124" s="60"/>
      <c r="AQ124" s="60"/>
      <c r="AR124" s="104"/>
      <c r="AS124" s="60"/>
      <c r="AT124" s="60"/>
      <c r="AU124" s="60"/>
      <c r="AV124" s="117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>
        <v>50</v>
      </c>
      <c r="BM124" s="60">
        <v>30</v>
      </c>
      <c r="BN124" s="60">
        <v>50</v>
      </c>
      <c r="BO124" s="60">
        <v>50</v>
      </c>
      <c r="BP124" s="60">
        <v>30</v>
      </c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58"/>
      <c r="CG124" s="58"/>
      <c r="CH124" s="58"/>
      <c r="CI124" s="58"/>
      <c r="CJ124" s="58" t="s">
        <v>144</v>
      </c>
    </row>
    <row r="125" spans="1:88" x14ac:dyDescent="0.3">
      <c r="B125" s="51" t="s">
        <v>56</v>
      </c>
      <c r="C125" s="44" t="s">
        <v>16</v>
      </c>
      <c r="D125" s="52" t="str">
        <f t="shared" si="107"/>
        <v>Erik Stockglausner</v>
      </c>
      <c r="E125" s="53">
        <f t="shared" si="110"/>
        <v>160</v>
      </c>
      <c r="F125" s="54" t="e">
        <f t="shared" si="111"/>
        <v>#VALUE!</v>
      </c>
      <c r="G125" s="55">
        <v>2500</v>
      </c>
      <c r="H125" s="53">
        <f t="shared" si="108"/>
        <v>4</v>
      </c>
      <c r="I125" s="54">
        <f t="shared" si="112"/>
        <v>10000</v>
      </c>
      <c r="J125" s="54" t="e">
        <f t="shared" si="113"/>
        <v>#VALUE!</v>
      </c>
      <c r="K125" s="140" cm="1">
        <f t="array" ref="K125">IFERROR(INDEX($O$6:$EM$6,MATCH(TRUE,O125:EM125&lt;&gt;"",0)),"")</f>
        <v>46355</v>
      </c>
      <c r="L125" s="140" cm="1">
        <f t="array" ref="L125">IFERROR(INDEX($O$6:$CI$6,_xlfn.XMATCH(1,(O125:CI125&lt;&gt;"")*1,,-1))-1,"")</f>
        <v>46375</v>
      </c>
      <c r="M125" s="53">
        <f t="shared" si="114"/>
        <v>5</v>
      </c>
      <c r="N125" s="56">
        <f t="shared" si="115"/>
        <v>46356</v>
      </c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92"/>
      <c r="AJ125" s="53"/>
      <c r="AK125" s="53"/>
      <c r="AL125" s="53"/>
      <c r="AM125" s="53"/>
      <c r="AN125" s="98"/>
      <c r="AO125" s="53"/>
      <c r="AP125" s="53"/>
      <c r="AQ125" s="53"/>
      <c r="AR125" s="104"/>
      <c r="AS125" s="53"/>
      <c r="AT125" s="53"/>
      <c r="AU125" s="53"/>
      <c r="AV125" s="117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>
        <v>30</v>
      </c>
      <c r="BN125" s="53">
        <v>50</v>
      </c>
      <c r="BO125" s="53">
        <v>50</v>
      </c>
      <c r="BP125" s="53">
        <v>30</v>
      </c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44"/>
      <c r="CG125" s="44"/>
      <c r="CH125" s="44"/>
      <c r="CI125" s="44"/>
      <c r="CJ125" s="44" t="s">
        <v>144</v>
      </c>
    </row>
    <row r="126" spans="1:88" x14ac:dyDescent="0.3">
      <c r="B126" s="51" t="s">
        <v>60</v>
      </c>
      <c r="C126" s="44" t="s">
        <v>16</v>
      </c>
      <c r="D126" s="52" t="str">
        <f t="shared" si="107"/>
        <v>Mohamed Ben-Salah</v>
      </c>
      <c r="E126" s="53">
        <f t="shared" si="110"/>
        <v>160</v>
      </c>
      <c r="F126" s="54" t="e">
        <f t="shared" si="111"/>
        <v>#VALUE!</v>
      </c>
      <c r="G126" s="55">
        <v>2500</v>
      </c>
      <c r="H126" s="53">
        <f t="shared" si="108"/>
        <v>4</v>
      </c>
      <c r="I126" s="54">
        <f t="shared" si="112"/>
        <v>10000</v>
      </c>
      <c r="J126" s="54" t="e">
        <f t="shared" si="113"/>
        <v>#VALUE!</v>
      </c>
      <c r="K126" s="140" cm="1">
        <f t="array" ref="K126">IFERROR(INDEX($O$6:$EM$6,MATCH(TRUE,O126:EM126&lt;&gt;"",0)),"")</f>
        <v>46355</v>
      </c>
      <c r="L126" s="140" cm="1">
        <f t="array" ref="L126">IFERROR(INDEX($O$6:$CI$6,_xlfn.XMATCH(1,(O126:CI126&lt;&gt;"")*1,,-1))-1,"")</f>
        <v>46375</v>
      </c>
      <c r="M126" s="53">
        <f t="shared" si="114"/>
        <v>5</v>
      </c>
      <c r="N126" s="56">
        <f t="shared" si="115"/>
        <v>46356</v>
      </c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92"/>
      <c r="AJ126" s="53"/>
      <c r="AK126" s="53"/>
      <c r="AL126" s="53"/>
      <c r="AM126" s="53"/>
      <c r="AN126" s="98"/>
      <c r="AO126" s="53"/>
      <c r="AP126" s="53"/>
      <c r="AQ126" s="53"/>
      <c r="AR126" s="104"/>
      <c r="AS126" s="53"/>
      <c r="AT126" s="53"/>
      <c r="AU126" s="53"/>
      <c r="AV126" s="117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>
        <v>30</v>
      </c>
      <c r="BN126" s="53">
        <v>50</v>
      </c>
      <c r="BO126" s="53">
        <v>50</v>
      </c>
      <c r="BP126" s="53">
        <v>30</v>
      </c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44"/>
      <c r="CG126" s="44"/>
      <c r="CH126" s="44"/>
      <c r="CI126" s="44"/>
      <c r="CJ126" s="44" t="s">
        <v>144</v>
      </c>
    </row>
    <row r="127" spans="1:88" x14ac:dyDescent="0.3">
      <c r="B127" s="8" t="s">
        <v>51</v>
      </c>
      <c r="D127" s="12"/>
      <c r="F127" s="15"/>
      <c r="G127" s="13"/>
      <c r="I127" s="15"/>
      <c r="J127" s="15"/>
      <c r="K127" s="135"/>
      <c r="L127" s="135"/>
      <c r="N127" s="5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92"/>
      <c r="AJ127" s="16"/>
      <c r="AK127" s="16"/>
      <c r="AL127" s="16"/>
      <c r="AM127" s="16"/>
      <c r="AN127" s="98"/>
      <c r="AO127" s="16"/>
      <c r="AP127" s="16"/>
      <c r="AQ127" s="16"/>
      <c r="AR127" s="104"/>
      <c r="AS127" s="16"/>
      <c r="AT127" s="16"/>
      <c r="AU127" s="16"/>
      <c r="AV127" s="117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J127" s="1" t="s">
        <v>144</v>
      </c>
    </row>
    <row r="128" spans="1:88" x14ac:dyDescent="0.3">
      <c r="B128" s="57" t="s">
        <v>17</v>
      </c>
      <c r="C128" s="58" t="s">
        <v>16</v>
      </c>
      <c r="D128" s="59" t="str">
        <f t="shared" ref="D128:D134" si="116">VLOOKUP(B128,Rate_Table,2,0)</f>
        <v>Tyler Dunlap</v>
      </c>
      <c r="E128" s="60">
        <f t="shared" si="58"/>
        <v>80</v>
      </c>
      <c r="F128" s="61" t="e">
        <f t="shared" si="59"/>
        <v>#VALUE!</v>
      </c>
      <c r="G128" s="62">
        <v>2500</v>
      </c>
      <c r="H128" s="60">
        <f t="shared" ref="H128:H134" si="117">INT(COUNT(O128:CI128)*1)</f>
        <v>2</v>
      </c>
      <c r="I128" s="61">
        <f t="shared" si="61"/>
        <v>5000</v>
      </c>
      <c r="J128" s="61" t="e">
        <f t="shared" si="62"/>
        <v>#VALUE!</v>
      </c>
      <c r="K128" s="139" cm="1">
        <f t="array" ref="K128">IFERROR(INDEX($O$6:$EM$6,MATCH(TRUE,O128:EM128&lt;&gt;"",0)),"")</f>
        <v>46383</v>
      </c>
      <c r="L128" s="139" cm="1">
        <f t="array" ref="L128">IFERROR(INDEX($O$6:$CI$6,_xlfn.XMATCH(1,(O128:CI128&lt;&gt;"")*1,,-1))-1,"")</f>
        <v>46389</v>
      </c>
      <c r="M128" s="60">
        <f t="shared" si="72"/>
        <v>3</v>
      </c>
      <c r="N128" s="63">
        <f t="shared" ref="N128:N131" si="118">IFERROR(K128+1,"")</f>
        <v>46384</v>
      </c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92"/>
      <c r="AJ128" s="60"/>
      <c r="AK128" s="60"/>
      <c r="AL128" s="60"/>
      <c r="AM128" s="60"/>
      <c r="AN128" s="98"/>
      <c r="AO128" s="60"/>
      <c r="AP128" s="60"/>
      <c r="AQ128" s="60"/>
      <c r="AR128" s="104"/>
      <c r="AS128" s="60"/>
      <c r="AT128" s="60"/>
      <c r="AU128" s="60"/>
      <c r="AV128" s="117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>
        <v>30</v>
      </c>
      <c r="BR128" s="60">
        <v>50</v>
      </c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58"/>
      <c r="CG128" s="58"/>
      <c r="CH128" s="58"/>
      <c r="CI128" s="58"/>
      <c r="CJ128" s="58" t="s">
        <v>144</v>
      </c>
    </row>
    <row r="129" spans="1:88" x14ac:dyDescent="0.3">
      <c r="B129" s="57" t="s">
        <v>18</v>
      </c>
      <c r="C129" s="58" t="s">
        <v>16</v>
      </c>
      <c r="D129" s="59" t="str">
        <f t="shared" si="116"/>
        <v>Zach Tucker</v>
      </c>
      <c r="E129" s="60">
        <f t="shared" si="58"/>
        <v>80</v>
      </c>
      <c r="F129" s="61" t="e">
        <f t="shared" si="59"/>
        <v>#VALUE!</v>
      </c>
      <c r="G129" s="62">
        <v>2500</v>
      </c>
      <c r="H129" s="60">
        <f t="shared" si="117"/>
        <v>2</v>
      </c>
      <c r="I129" s="61">
        <f t="shared" si="61"/>
        <v>5000</v>
      </c>
      <c r="J129" s="61" t="e">
        <f t="shared" si="62"/>
        <v>#VALUE!</v>
      </c>
      <c r="K129" s="139" cm="1">
        <f t="array" ref="K129">IFERROR(INDEX($O$6:$EM$6,MATCH(TRUE,O129:EM129&lt;&gt;"",0)),"")</f>
        <v>46383</v>
      </c>
      <c r="L129" s="139" cm="1">
        <f t="array" ref="L129">IFERROR(INDEX($O$6:$CI$6,_xlfn.XMATCH(1,(O129:CI129&lt;&gt;"")*1,,-1))-1,"")</f>
        <v>46389</v>
      </c>
      <c r="M129" s="60">
        <f t="shared" si="72"/>
        <v>3</v>
      </c>
      <c r="N129" s="63">
        <f t="shared" si="118"/>
        <v>46384</v>
      </c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92"/>
      <c r="AJ129" s="60"/>
      <c r="AK129" s="60"/>
      <c r="AL129" s="60"/>
      <c r="AM129" s="60"/>
      <c r="AN129" s="98"/>
      <c r="AO129" s="60"/>
      <c r="AP129" s="60"/>
      <c r="AQ129" s="60"/>
      <c r="AR129" s="104"/>
      <c r="AS129" s="60"/>
      <c r="AT129" s="60"/>
      <c r="AU129" s="60"/>
      <c r="AV129" s="117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>
        <v>30</v>
      </c>
      <c r="BR129" s="60">
        <v>50</v>
      </c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58"/>
      <c r="CG129" s="58"/>
      <c r="CH129" s="58"/>
      <c r="CI129" s="58"/>
      <c r="CJ129" s="58" t="s">
        <v>144</v>
      </c>
    </row>
    <row r="130" spans="1:88" x14ac:dyDescent="0.3">
      <c r="B130" s="51" t="s">
        <v>55</v>
      </c>
      <c r="C130" s="44" t="s">
        <v>16</v>
      </c>
      <c r="D130" s="52" t="str">
        <f t="shared" si="116"/>
        <v>Tyler Roady</v>
      </c>
      <c r="E130" s="53">
        <f t="shared" si="58"/>
        <v>80</v>
      </c>
      <c r="F130" s="54" t="e">
        <f t="shared" si="59"/>
        <v>#VALUE!</v>
      </c>
      <c r="G130" s="55">
        <v>2500</v>
      </c>
      <c r="H130" s="53">
        <f t="shared" si="117"/>
        <v>2</v>
      </c>
      <c r="I130" s="54">
        <f t="shared" si="61"/>
        <v>5000</v>
      </c>
      <c r="J130" s="54" t="e">
        <f t="shared" si="62"/>
        <v>#VALUE!</v>
      </c>
      <c r="K130" s="140" cm="1">
        <f t="array" ref="K130">IFERROR(INDEX($O$6:$EM$6,MATCH(TRUE,O130:EM130&lt;&gt;"",0)),"")</f>
        <v>46383</v>
      </c>
      <c r="L130" s="140" cm="1">
        <f t="array" ref="L130">IFERROR(INDEX($O$6:$CI$6,_xlfn.XMATCH(1,(O130:CI130&lt;&gt;"")*1,,-1))-1,"")</f>
        <v>46389</v>
      </c>
      <c r="M130" s="53">
        <f t="shared" si="72"/>
        <v>3</v>
      </c>
      <c r="N130" s="56">
        <f t="shared" si="118"/>
        <v>46384</v>
      </c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92"/>
      <c r="AJ130" s="53"/>
      <c r="AK130" s="53"/>
      <c r="AL130" s="53"/>
      <c r="AM130" s="53"/>
      <c r="AN130" s="98"/>
      <c r="AO130" s="53"/>
      <c r="AP130" s="53"/>
      <c r="AQ130" s="53"/>
      <c r="AR130" s="104"/>
      <c r="AS130" s="53"/>
      <c r="AT130" s="53"/>
      <c r="AU130" s="53"/>
      <c r="AV130" s="117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>
        <v>30</v>
      </c>
      <c r="BR130" s="53">
        <v>50</v>
      </c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44"/>
      <c r="CG130" s="44"/>
      <c r="CH130" s="44"/>
      <c r="CI130" s="44"/>
      <c r="CJ130" s="44" t="s">
        <v>144</v>
      </c>
    </row>
    <row r="131" spans="1:88" x14ac:dyDescent="0.3">
      <c r="B131" s="57" t="s">
        <v>42</v>
      </c>
      <c r="C131" s="58" t="s">
        <v>16</v>
      </c>
      <c r="D131" s="59" t="str">
        <f t="shared" si="116"/>
        <v>Kaenon Stockglausner</v>
      </c>
      <c r="E131" s="60">
        <f t="shared" si="58"/>
        <v>80</v>
      </c>
      <c r="F131" s="61" t="e">
        <f t="shared" si="59"/>
        <v>#VALUE!</v>
      </c>
      <c r="G131" s="62">
        <v>2500</v>
      </c>
      <c r="H131" s="60">
        <f t="shared" si="117"/>
        <v>2</v>
      </c>
      <c r="I131" s="61">
        <f t="shared" si="61"/>
        <v>5000</v>
      </c>
      <c r="J131" s="61" t="e">
        <f t="shared" si="62"/>
        <v>#VALUE!</v>
      </c>
      <c r="K131" s="139" cm="1">
        <f t="array" ref="K131">IFERROR(INDEX($O$6:$EM$6,MATCH(TRUE,O131:EM131&lt;&gt;"",0)),"")</f>
        <v>46383</v>
      </c>
      <c r="L131" s="139" cm="1">
        <f t="array" ref="L131">IFERROR(INDEX($O$6:$CI$6,_xlfn.XMATCH(1,(O131:CI131&lt;&gt;"")*1,,-1))-1,"")</f>
        <v>46389</v>
      </c>
      <c r="M131" s="60">
        <f t="shared" si="72"/>
        <v>3</v>
      </c>
      <c r="N131" s="63">
        <f t="shared" si="118"/>
        <v>46384</v>
      </c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92"/>
      <c r="AJ131" s="60"/>
      <c r="AK131" s="60"/>
      <c r="AL131" s="60"/>
      <c r="AM131" s="60"/>
      <c r="AN131" s="98"/>
      <c r="AO131" s="60"/>
      <c r="AP131" s="60"/>
      <c r="AQ131" s="60"/>
      <c r="AR131" s="104"/>
      <c r="AS131" s="60"/>
      <c r="AT131" s="60"/>
      <c r="AU131" s="60"/>
      <c r="AV131" s="117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>
        <v>30</v>
      </c>
      <c r="BR131" s="60">
        <v>50</v>
      </c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58"/>
      <c r="CG131" s="58"/>
      <c r="CH131" s="58"/>
      <c r="CI131" s="58"/>
      <c r="CJ131" s="58" t="s">
        <v>144</v>
      </c>
    </row>
    <row r="132" spans="1:88" x14ac:dyDescent="0.3">
      <c r="B132" s="57" t="s">
        <v>43</v>
      </c>
      <c r="C132" s="58"/>
      <c r="D132" s="59">
        <f t="shared" si="116"/>
        <v>0</v>
      </c>
      <c r="E132" s="60">
        <f t="shared" ref="E132:E134" si="119">SUM(O132:CI132)</f>
        <v>80</v>
      </c>
      <c r="F132" s="61">
        <f t="shared" ref="F132:F134" si="120">E132*D132</f>
        <v>0</v>
      </c>
      <c r="G132" s="62">
        <v>2500</v>
      </c>
      <c r="H132" s="60">
        <f t="shared" si="117"/>
        <v>2</v>
      </c>
      <c r="I132" s="61">
        <f t="shared" ref="I132:I134" si="121">H132*G132</f>
        <v>5000</v>
      </c>
      <c r="J132" s="61">
        <f t="shared" ref="J132:J134" si="122">SUM(F132,I132)</f>
        <v>5000</v>
      </c>
      <c r="K132" s="139" cm="1">
        <f t="array" ref="K132">IFERROR(INDEX($O$6:$EM$6,MATCH(TRUE,O132:EM132&lt;&gt;"",0)),"")</f>
        <v>46383</v>
      </c>
      <c r="L132" s="139" cm="1">
        <f t="array" ref="L132">IFERROR(INDEX($O$6:$CI$6,_xlfn.XMATCH(1,(O132:CI132&lt;&gt;"")*1,,-1))-1,"")</f>
        <v>46389</v>
      </c>
      <c r="M132" s="60">
        <f t="shared" ref="M132:M134" si="123">COUNTA(O132:EM132)</f>
        <v>3</v>
      </c>
      <c r="N132" s="63">
        <f t="shared" ref="N132:N134" si="124">IFERROR(K132+1,"")</f>
        <v>46384</v>
      </c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92"/>
      <c r="AJ132" s="60"/>
      <c r="AK132" s="60"/>
      <c r="AL132" s="60"/>
      <c r="AM132" s="60"/>
      <c r="AN132" s="98"/>
      <c r="AO132" s="60"/>
      <c r="AP132" s="60"/>
      <c r="AQ132" s="60"/>
      <c r="AR132" s="104"/>
      <c r="AS132" s="60"/>
      <c r="AT132" s="60"/>
      <c r="AU132" s="60"/>
      <c r="AV132" s="117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>
        <v>30</v>
      </c>
      <c r="BR132" s="60">
        <v>50</v>
      </c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  <c r="CD132" s="60"/>
      <c r="CE132" s="60"/>
      <c r="CF132" s="58"/>
      <c r="CG132" s="58"/>
      <c r="CH132" s="58"/>
      <c r="CI132" s="58"/>
      <c r="CJ132" s="58" t="s">
        <v>144</v>
      </c>
    </row>
    <row r="133" spans="1:88" x14ac:dyDescent="0.3">
      <c r="B133" s="51" t="s">
        <v>56</v>
      </c>
      <c r="C133" s="44"/>
      <c r="D133" s="52" t="str">
        <f t="shared" si="116"/>
        <v>Erik Stockglausner</v>
      </c>
      <c r="E133" s="53">
        <f t="shared" si="119"/>
        <v>80</v>
      </c>
      <c r="F133" s="54" t="e">
        <f t="shared" si="120"/>
        <v>#VALUE!</v>
      </c>
      <c r="G133" s="55">
        <v>2500</v>
      </c>
      <c r="H133" s="53">
        <f t="shared" si="117"/>
        <v>2</v>
      </c>
      <c r="I133" s="54">
        <f t="shared" si="121"/>
        <v>5000</v>
      </c>
      <c r="J133" s="54" t="e">
        <f t="shared" si="122"/>
        <v>#VALUE!</v>
      </c>
      <c r="K133" s="140" cm="1">
        <f t="array" ref="K133">IFERROR(INDEX($O$6:$EM$6,MATCH(TRUE,O133:EM133&lt;&gt;"",0)),"")</f>
        <v>46383</v>
      </c>
      <c r="L133" s="140" cm="1">
        <f t="array" ref="L133">IFERROR(INDEX($O$6:$CI$6,_xlfn.XMATCH(1,(O133:CI133&lt;&gt;"")*1,,-1))-1,"")</f>
        <v>46389</v>
      </c>
      <c r="M133" s="53">
        <f t="shared" si="123"/>
        <v>3</v>
      </c>
      <c r="N133" s="56">
        <f t="shared" si="124"/>
        <v>46384</v>
      </c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92"/>
      <c r="AJ133" s="53"/>
      <c r="AK133" s="53"/>
      <c r="AL133" s="53"/>
      <c r="AM133" s="53"/>
      <c r="AN133" s="98"/>
      <c r="AO133" s="53"/>
      <c r="AP133" s="53"/>
      <c r="AQ133" s="53"/>
      <c r="AR133" s="104"/>
      <c r="AS133" s="53"/>
      <c r="AT133" s="53"/>
      <c r="AU133" s="53"/>
      <c r="AV133" s="117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>
        <v>30</v>
      </c>
      <c r="BR133" s="53">
        <v>50</v>
      </c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44"/>
      <c r="CG133" s="44"/>
      <c r="CH133" s="44"/>
      <c r="CI133" s="44"/>
      <c r="CJ133" s="44" t="s">
        <v>144</v>
      </c>
    </row>
    <row r="134" spans="1:88" x14ac:dyDescent="0.3">
      <c r="B134" s="51" t="s">
        <v>60</v>
      </c>
      <c r="C134" s="44" t="s">
        <v>16</v>
      </c>
      <c r="D134" s="52" t="str">
        <f t="shared" si="116"/>
        <v>Mohamed Ben-Salah</v>
      </c>
      <c r="E134" s="53">
        <f t="shared" si="119"/>
        <v>80</v>
      </c>
      <c r="F134" s="54" t="e">
        <f t="shared" si="120"/>
        <v>#VALUE!</v>
      </c>
      <c r="G134" s="55">
        <v>2500</v>
      </c>
      <c r="H134" s="53">
        <f t="shared" si="117"/>
        <v>2</v>
      </c>
      <c r="I134" s="54">
        <f t="shared" si="121"/>
        <v>5000</v>
      </c>
      <c r="J134" s="54" t="e">
        <f t="shared" si="122"/>
        <v>#VALUE!</v>
      </c>
      <c r="K134" s="140" cm="1">
        <f t="array" ref="K134">IFERROR(INDEX($O$6:$EM$6,MATCH(TRUE,O134:EM134&lt;&gt;"",0)),"")</f>
        <v>46383</v>
      </c>
      <c r="L134" s="140" cm="1">
        <f t="array" ref="L134">IFERROR(INDEX($O$6:$CI$6,_xlfn.XMATCH(1,(O134:CI134&lt;&gt;"")*1,,-1))-1,"")</f>
        <v>46389</v>
      </c>
      <c r="M134" s="53">
        <f t="shared" si="123"/>
        <v>3</v>
      </c>
      <c r="N134" s="56">
        <f t="shared" si="124"/>
        <v>46384</v>
      </c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92"/>
      <c r="AJ134" s="53"/>
      <c r="AK134" s="53"/>
      <c r="AL134" s="53"/>
      <c r="AM134" s="53"/>
      <c r="AN134" s="98"/>
      <c r="AO134" s="53"/>
      <c r="AP134" s="53"/>
      <c r="AQ134" s="53"/>
      <c r="AR134" s="104"/>
      <c r="AS134" s="53"/>
      <c r="AT134" s="53"/>
      <c r="AU134" s="53"/>
      <c r="AV134" s="117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>
        <v>30</v>
      </c>
      <c r="BR134" s="53">
        <v>50</v>
      </c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44"/>
      <c r="CG134" s="44"/>
      <c r="CH134" s="44"/>
      <c r="CI134" s="44"/>
      <c r="CJ134" s="44" t="s">
        <v>144</v>
      </c>
    </row>
    <row r="135" spans="1:88" s="18" customFormat="1" ht="15.6" x14ac:dyDescent="0.3">
      <c r="A135" s="21" t="s">
        <v>68</v>
      </c>
      <c r="B135" s="21"/>
      <c r="C135" s="22"/>
      <c r="D135" s="23"/>
      <c r="E135" s="24">
        <f>SUM(E120:E133)</f>
        <v>1850</v>
      </c>
      <c r="F135" s="25" t="e">
        <f>SUM(F120:F133)</f>
        <v>#VALUE!</v>
      </c>
      <c r="G135" s="26"/>
      <c r="H135" s="24"/>
      <c r="I135" s="25">
        <f>SUM(I120:I133)</f>
        <v>112500</v>
      </c>
      <c r="J135" s="25" t="e">
        <f>SUM(J120:J133)</f>
        <v>#VALUE!</v>
      </c>
      <c r="K135" s="138"/>
      <c r="L135" s="138"/>
      <c r="M135" s="24"/>
      <c r="N135" s="27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93"/>
      <c r="AJ135" s="24"/>
      <c r="AK135" s="24"/>
      <c r="AL135" s="24"/>
      <c r="AM135" s="24"/>
      <c r="AN135" s="99"/>
      <c r="AO135" s="24"/>
      <c r="AP135" s="24"/>
      <c r="AQ135" s="24"/>
      <c r="AR135" s="105"/>
      <c r="AS135" s="24"/>
      <c r="AT135" s="24"/>
      <c r="AU135" s="24"/>
      <c r="AV135" s="118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2"/>
      <c r="CG135" s="22"/>
      <c r="CH135" s="22"/>
      <c r="CI135" s="22"/>
      <c r="CJ135" s="1" t="s">
        <v>144</v>
      </c>
    </row>
    <row r="136" spans="1:88" x14ac:dyDescent="0.3">
      <c r="B136" s="7"/>
      <c r="D136" s="12"/>
      <c r="F136" s="15"/>
      <c r="G136" s="13"/>
      <c r="I136" s="15"/>
      <c r="J136" s="15"/>
      <c r="K136" s="135"/>
      <c r="L136" s="135"/>
      <c r="N136" s="5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92"/>
      <c r="AJ136" s="16"/>
      <c r="AK136" s="16"/>
      <c r="AL136" s="16"/>
      <c r="AM136" s="16"/>
      <c r="AN136" s="98"/>
      <c r="AO136" s="16"/>
      <c r="AP136" s="16"/>
      <c r="AQ136" s="16"/>
      <c r="AR136" s="104"/>
      <c r="AS136" s="16"/>
      <c r="AT136" s="16"/>
      <c r="AU136" s="16"/>
      <c r="AV136" s="117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J136" s="1" t="s">
        <v>144</v>
      </c>
    </row>
    <row r="137" spans="1:88" x14ac:dyDescent="0.3">
      <c r="A137" s="9" t="s">
        <v>34</v>
      </c>
      <c r="B137" s="7"/>
      <c r="D137" s="12"/>
      <c r="F137" s="15"/>
      <c r="G137" s="13"/>
      <c r="I137" s="15"/>
      <c r="J137" s="15"/>
      <c r="K137" s="135"/>
      <c r="L137" s="135"/>
      <c r="N137" s="5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92"/>
      <c r="AJ137" s="16"/>
      <c r="AK137" s="16"/>
      <c r="AL137" s="16"/>
      <c r="AM137" s="16"/>
      <c r="AN137" s="98"/>
      <c r="AO137" s="16"/>
      <c r="AP137" s="16"/>
      <c r="AQ137" s="16"/>
      <c r="AR137" s="104"/>
      <c r="AS137" s="16"/>
      <c r="AT137" s="16"/>
      <c r="AU137" s="16"/>
      <c r="AV137" s="117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J137" s="1" t="s">
        <v>144</v>
      </c>
    </row>
    <row r="138" spans="1:88" x14ac:dyDescent="0.3">
      <c r="B138" s="85" t="s">
        <v>71</v>
      </c>
      <c r="D138" s="12"/>
      <c r="F138" s="15"/>
      <c r="G138" s="13"/>
      <c r="I138" s="15"/>
      <c r="J138" s="15"/>
      <c r="K138" s="135"/>
      <c r="L138" s="135"/>
      <c r="N138" s="5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92"/>
      <c r="AJ138" s="16"/>
      <c r="AK138" s="16"/>
      <c r="AL138" s="16"/>
      <c r="AM138" s="16"/>
      <c r="AN138" s="98"/>
      <c r="AO138" s="16"/>
      <c r="AP138" s="16"/>
      <c r="AQ138" s="16"/>
      <c r="AR138" s="104"/>
      <c r="AS138" s="16"/>
      <c r="AT138" s="16"/>
      <c r="AU138" s="16"/>
      <c r="AV138" s="117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J138" s="1" t="s">
        <v>144</v>
      </c>
    </row>
    <row r="139" spans="1:88" x14ac:dyDescent="0.3">
      <c r="B139" s="57" t="s">
        <v>19</v>
      </c>
      <c r="C139" s="58" t="s">
        <v>16</v>
      </c>
      <c r="D139" s="59" t="str">
        <f t="shared" ref="D139:D144" si="125">VLOOKUP(B139,Rate_Table,2,0)</f>
        <v>Muhammed Kurt</v>
      </c>
      <c r="E139" s="60">
        <f t="shared" si="58"/>
        <v>200</v>
      </c>
      <c r="F139" s="61" t="e">
        <f t="shared" si="59"/>
        <v>#VALUE!</v>
      </c>
      <c r="G139" s="62">
        <v>2500</v>
      </c>
      <c r="H139" s="60">
        <f t="shared" ref="H139:H144" si="126">INT(COUNT(O139:CI139)*1)</f>
        <v>4</v>
      </c>
      <c r="I139" s="61">
        <f t="shared" si="61"/>
        <v>10000</v>
      </c>
      <c r="J139" s="61" t="e">
        <f t="shared" si="62"/>
        <v>#VALUE!</v>
      </c>
      <c r="K139" s="139" cm="1">
        <f t="array" ref="K139">IFERROR(INDEX($O$6:$EM$6,MATCH(TRUE,O139:EM139&lt;&gt;"",0)),"")</f>
        <v>46390</v>
      </c>
      <c r="L139" s="139" cm="1">
        <f t="array" ref="L139">IFERROR(INDEX($O$6:$CI$6,_xlfn.XMATCH(1,(O139:CI139&lt;&gt;"")*1,,-1))-1,"")</f>
        <v>46410</v>
      </c>
      <c r="M139" s="60">
        <f t="shared" si="72"/>
        <v>5</v>
      </c>
      <c r="N139" s="63">
        <f t="shared" ref="N139:N150" si="127">IFERROR(K139+1,"")</f>
        <v>46391</v>
      </c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92"/>
      <c r="AJ139" s="60"/>
      <c r="AK139" s="60"/>
      <c r="AL139" s="60"/>
      <c r="AM139" s="60"/>
      <c r="AN139" s="98"/>
      <c r="AO139" s="60"/>
      <c r="AP139" s="60"/>
      <c r="AQ139" s="60"/>
      <c r="AR139" s="104"/>
      <c r="AS139" s="60"/>
      <c r="AT139" s="60"/>
      <c r="AU139" s="60"/>
      <c r="AV139" s="117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>
        <v>50</v>
      </c>
      <c r="BS139" s="60">
        <v>50</v>
      </c>
      <c r="BT139" s="60">
        <v>50</v>
      </c>
      <c r="BU139" s="60">
        <v>50</v>
      </c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58"/>
      <c r="CG139" s="58"/>
      <c r="CH139" s="58"/>
      <c r="CI139" s="58"/>
      <c r="CJ139" s="58" t="s">
        <v>144</v>
      </c>
    </row>
    <row r="140" spans="1:88" x14ac:dyDescent="0.3">
      <c r="B140" s="57" t="s">
        <v>20</v>
      </c>
      <c r="C140" s="58" t="s">
        <v>16</v>
      </c>
      <c r="D140" s="59" t="str">
        <f t="shared" si="125"/>
        <v>Carter Corey</v>
      </c>
      <c r="E140" s="60">
        <f t="shared" si="58"/>
        <v>200</v>
      </c>
      <c r="F140" s="61" t="e">
        <f t="shared" si="59"/>
        <v>#VALUE!</v>
      </c>
      <c r="G140" s="62">
        <v>2500</v>
      </c>
      <c r="H140" s="60">
        <f t="shared" si="126"/>
        <v>4</v>
      </c>
      <c r="I140" s="61">
        <f t="shared" si="61"/>
        <v>10000</v>
      </c>
      <c r="J140" s="61" t="e">
        <f t="shared" si="62"/>
        <v>#VALUE!</v>
      </c>
      <c r="K140" s="139" cm="1">
        <f t="array" ref="K140">IFERROR(INDEX($O$6:$EM$6,MATCH(TRUE,O140:EM140&lt;&gt;"",0)),"")</f>
        <v>46390</v>
      </c>
      <c r="L140" s="139" cm="1">
        <f t="array" ref="L140">IFERROR(INDEX($O$6:$CI$6,_xlfn.XMATCH(1,(O140:CI140&lt;&gt;"")*1,,-1))-1,"")</f>
        <v>46410</v>
      </c>
      <c r="M140" s="60">
        <f t="shared" si="72"/>
        <v>5</v>
      </c>
      <c r="N140" s="63">
        <f t="shared" si="127"/>
        <v>46391</v>
      </c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92"/>
      <c r="AJ140" s="60"/>
      <c r="AK140" s="60"/>
      <c r="AL140" s="60"/>
      <c r="AM140" s="60"/>
      <c r="AN140" s="98"/>
      <c r="AO140" s="60"/>
      <c r="AP140" s="60"/>
      <c r="AQ140" s="60"/>
      <c r="AR140" s="104"/>
      <c r="AS140" s="60"/>
      <c r="AT140" s="60"/>
      <c r="AU140" s="60"/>
      <c r="AV140" s="117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>
        <v>50</v>
      </c>
      <c r="BS140" s="60">
        <v>50</v>
      </c>
      <c r="BT140" s="60">
        <v>50</v>
      </c>
      <c r="BU140" s="60">
        <v>50</v>
      </c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58"/>
      <c r="CG140" s="58"/>
      <c r="CH140" s="58"/>
      <c r="CI140" s="58"/>
      <c r="CJ140" s="58" t="s">
        <v>144</v>
      </c>
    </row>
    <row r="141" spans="1:88" x14ac:dyDescent="0.3">
      <c r="B141" s="51" t="s">
        <v>59</v>
      </c>
      <c r="C141" s="44" t="s">
        <v>16</v>
      </c>
      <c r="D141" s="52" t="str">
        <f t="shared" si="125"/>
        <v>Kevin Duong</v>
      </c>
      <c r="E141" s="53">
        <f>SUM(O141:CI141)</f>
        <v>200</v>
      </c>
      <c r="F141" s="54" t="e">
        <f>E141*D141</f>
        <v>#VALUE!</v>
      </c>
      <c r="G141" s="55">
        <v>2500</v>
      </c>
      <c r="H141" s="53">
        <f t="shared" si="126"/>
        <v>4</v>
      </c>
      <c r="I141" s="54">
        <f>H141*G141</f>
        <v>10000</v>
      </c>
      <c r="J141" s="54" t="e">
        <f>SUM(F141,I141)</f>
        <v>#VALUE!</v>
      </c>
      <c r="K141" s="140" cm="1">
        <f t="array" ref="K141">IFERROR(INDEX($O$6:$EM$6,MATCH(TRUE,O141:EM141&lt;&gt;"",0)),"")</f>
        <v>46390</v>
      </c>
      <c r="L141" s="140" cm="1">
        <f t="array" ref="L141">IFERROR(INDEX($O$6:$CI$6,_xlfn.XMATCH(1,(O141:CI141&lt;&gt;"")*1,,-1))-1,"")</f>
        <v>46410</v>
      </c>
      <c r="M141" s="53">
        <f>COUNTA(O141:EM141)</f>
        <v>5</v>
      </c>
      <c r="N141" s="56">
        <f>IFERROR(K141+1,"")</f>
        <v>46391</v>
      </c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92"/>
      <c r="AJ141" s="53"/>
      <c r="AK141" s="53"/>
      <c r="AL141" s="53"/>
      <c r="AM141" s="53"/>
      <c r="AN141" s="98"/>
      <c r="AO141" s="53"/>
      <c r="AP141" s="53"/>
      <c r="AQ141" s="53"/>
      <c r="AR141" s="104"/>
      <c r="AS141" s="53"/>
      <c r="AT141" s="53"/>
      <c r="AU141" s="53"/>
      <c r="AV141" s="117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>
        <v>50</v>
      </c>
      <c r="BS141" s="53">
        <v>50</v>
      </c>
      <c r="BT141" s="53">
        <v>50</v>
      </c>
      <c r="BU141" s="53">
        <v>50</v>
      </c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44"/>
      <c r="CG141" s="44"/>
      <c r="CH141" s="44"/>
      <c r="CI141" s="44"/>
      <c r="CJ141" s="44" t="s">
        <v>144</v>
      </c>
    </row>
    <row r="142" spans="1:88" x14ac:dyDescent="0.3">
      <c r="B142" s="57" t="s">
        <v>21</v>
      </c>
      <c r="C142" s="58" t="s">
        <v>16</v>
      </c>
      <c r="D142" s="59" t="str">
        <f t="shared" si="125"/>
        <v>Connor Paxton</v>
      </c>
      <c r="E142" s="60">
        <f t="shared" si="58"/>
        <v>200</v>
      </c>
      <c r="F142" s="61" t="e">
        <f t="shared" si="59"/>
        <v>#VALUE!</v>
      </c>
      <c r="G142" s="62">
        <v>2500</v>
      </c>
      <c r="H142" s="60">
        <f t="shared" si="126"/>
        <v>4</v>
      </c>
      <c r="I142" s="61">
        <f t="shared" si="61"/>
        <v>10000</v>
      </c>
      <c r="J142" s="61" t="e">
        <f t="shared" si="62"/>
        <v>#VALUE!</v>
      </c>
      <c r="K142" s="139" cm="1">
        <f t="array" ref="K142">IFERROR(INDEX($O$6:$EM$6,MATCH(TRUE,O142:EM142&lt;&gt;"",0)),"")</f>
        <v>46390</v>
      </c>
      <c r="L142" s="139" cm="1">
        <f t="array" ref="L142">IFERROR(INDEX($O$6:$CI$6,_xlfn.XMATCH(1,(O142:CI142&lt;&gt;"")*1,,-1))-1,"")</f>
        <v>46410</v>
      </c>
      <c r="M142" s="60">
        <f t="shared" si="72"/>
        <v>5</v>
      </c>
      <c r="N142" s="63">
        <f t="shared" si="127"/>
        <v>46391</v>
      </c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92"/>
      <c r="AJ142" s="60"/>
      <c r="AK142" s="60"/>
      <c r="AL142" s="60"/>
      <c r="AM142" s="60"/>
      <c r="AN142" s="98"/>
      <c r="AO142" s="60"/>
      <c r="AP142" s="60"/>
      <c r="AQ142" s="60"/>
      <c r="AR142" s="104"/>
      <c r="AS142" s="60"/>
      <c r="AT142" s="60"/>
      <c r="AU142" s="60"/>
      <c r="AV142" s="117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>
        <v>50</v>
      </c>
      <c r="BS142" s="60">
        <v>50</v>
      </c>
      <c r="BT142" s="60">
        <v>50</v>
      </c>
      <c r="BU142" s="60">
        <v>50</v>
      </c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58"/>
      <c r="CG142" s="58"/>
      <c r="CH142" s="58"/>
      <c r="CI142" s="58"/>
      <c r="CJ142" s="58" t="s">
        <v>144</v>
      </c>
    </row>
    <row r="143" spans="1:88" x14ac:dyDescent="0.3">
      <c r="B143" s="57" t="s">
        <v>22</v>
      </c>
      <c r="C143" s="58" t="s">
        <v>16</v>
      </c>
      <c r="D143" s="59" t="str">
        <f t="shared" si="125"/>
        <v>Kedric Benford</v>
      </c>
      <c r="E143" s="60">
        <f t="shared" si="58"/>
        <v>200</v>
      </c>
      <c r="F143" s="61" t="e">
        <f t="shared" si="59"/>
        <v>#VALUE!</v>
      </c>
      <c r="G143" s="62">
        <v>2500</v>
      </c>
      <c r="H143" s="60">
        <f t="shared" si="126"/>
        <v>4</v>
      </c>
      <c r="I143" s="61">
        <f t="shared" si="61"/>
        <v>10000</v>
      </c>
      <c r="J143" s="61" t="e">
        <f t="shared" si="62"/>
        <v>#VALUE!</v>
      </c>
      <c r="K143" s="139" cm="1">
        <f t="array" ref="K143">IFERROR(INDEX($O$6:$EM$6,MATCH(TRUE,O143:EM143&lt;&gt;"",0)),"")</f>
        <v>46390</v>
      </c>
      <c r="L143" s="139" cm="1">
        <f t="array" ref="L143">IFERROR(INDEX($O$6:$CI$6,_xlfn.XMATCH(1,(O143:CI143&lt;&gt;"")*1,,-1))-1,"")</f>
        <v>46410</v>
      </c>
      <c r="M143" s="60">
        <f t="shared" si="72"/>
        <v>5</v>
      </c>
      <c r="N143" s="63">
        <f t="shared" si="127"/>
        <v>46391</v>
      </c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92"/>
      <c r="AJ143" s="60"/>
      <c r="AK143" s="60"/>
      <c r="AL143" s="60"/>
      <c r="AM143" s="60"/>
      <c r="AN143" s="98"/>
      <c r="AO143" s="60"/>
      <c r="AP143" s="60"/>
      <c r="AQ143" s="60"/>
      <c r="AR143" s="104"/>
      <c r="AS143" s="60"/>
      <c r="AT143" s="60"/>
      <c r="AU143" s="60"/>
      <c r="AV143" s="117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>
        <v>50</v>
      </c>
      <c r="BS143" s="60">
        <v>50</v>
      </c>
      <c r="BT143" s="60">
        <v>50</v>
      </c>
      <c r="BU143" s="60">
        <v>50</v>
      </c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58"/>
      <c r="CG143" s="58"/>
      <c r="CH143" s="58"/>
      <c r="CI143" s="58"/>
      <c r="CJ143" s="58" t="s">
        <v>144</v>
      </c>
    </row>
    <row r="144" spans="1:88" x14ac:dyDescent="0.3">
      <c r="B144" s="51" t="s">
        <v>60</v>
      </c>
      <c r="C144" s="44" t="s">
        <v>16</v>
      </c>
      <c r="D144" s="52" t="str">
        <f t="shared" si="125"/>
        <v>Mohamed Ben-Salah</v>
      </c>
      <c r="E144" s="53">
        <f t="shared" ref="E144" si="128">SUM(O144:CI144)</f>
        <v>150</v>
      </c>
      <c r="F144" s="54" t="e">
        <f t="shared" ref="F144" si="129">E144*D144</f>
        <v>#VALUE!</v>
      </c>
      <c r="G144" s="55">
        <v>2500</v>
      </c>
      <c r="H144" s="53">
        <f t="shared" si="126"/>
        <v>3</v>
      </c>
      <c r="I144" s="54">
        <f t="shared" ref="I144" si="130">H144*G144</f>
        <v>7500</v>
      </c>
      <c r="J144" s="54" t="e">
        <f t="shared" ref="J144" si="131">SUM(F144,I144)</f>
        <v>#VALUE!</v>
      </c>
      <c r="K144" s="140" cm="1">
        <f t="array" ref="K144">IFERROR(INDEX($O$6:$EM$6,MATCH(TRUE,O144:EM144&lt;&gt;"",0)),"")</f>
        <v>46397</v>
      </c>
      <c r="L144" s="140" cm="1">
        <f t="array" ref="L144">IFERROR(INDEX($O$6:$CI$6,_xlfn.XMATCH(1,(O144:CI144&lt;&gt;"")*1,,-1))-1,"")</f>
        <v>46410</v>
      </c>
      <c r="M144" s="53">
        <f t="shared" ref="M144" si="132">COUNTA(O144:EM144)</f>
        <v>4</v>
      </c>
      <c r="N144" s="56">
        <f t="shared" ref="N144" si="133">IFERROR(K144+1,"")</f>
        <v>46398</v>
      </c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92"/>
      <c r="AJ144" s="53"/>
      <c r="AK144" s="53"/>
      <c r="AL144" s="53"/>
      <c r="AM144" s="53"/>
      <c r="AN144" s="98"/>
      <c r="AO144" s="53"/>
      <c r="AP144" s="53"/>
      <c r="AQ144" s="53"/>
      <c r="AR144" s="104"/>
      <c r="AS144" s="53"/>
      <c r="AT144" s="53"/>
      <c r="AU144" s="53"/>
      <c r="AV144" s="117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>
        <v>50</v>
      </c>
      <c r="BT144" s="53">
        <v>50</v>
      </c>
      <c r="BU144" s="53">
        <v>50</v>
      </c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44"/>
      <c r="CG144" s="44"/>
      <c r="CH144" s="44"/>
      <c r="CI144" s="44"/>
      <c r="CJ144" s="44" t="s">
        <v>144</v>
      </c>
    </row>
    <row r="145" spans="1:88" x14ac:dyDescent="0.3">
      <c r="B145" s="8" t="s">
        <v>50</v>
      </c>
      <c r="D145" s="12"/>
      <c r="F145" s="15"/>
      <c r="G145" s="13"/>
      <c r="I145" s="15"/>
      <c r="J145" s="15"/>
      <c r="K145" s="135"/>
      <c r="L145" s="135"/>
      <c r="N145" s="5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92"/>
      <c r="AJ145" s="16"/>
      <c r="AK145" s="16"/>
      <c r="AL145" s="16"/>
      <c r="AM145" s="16"/>
      <c r="AN145" s="98"/>
      <c r="AO145" s="16"/>
      <c r="AP145" s="16"/>
      <c r="AQ145" s="16"/>
      <c r="AR145" s="104"/>
      <c r="AS145" s="16"/>
      <c r="AT145" s="16"/>
      <c r="AU145" s="16"/>
      <c r="AV145" s="117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J145" s="1" t="s">
        <v>144</v>
      </c>
    </row>
    <row r="146" spans="1:88" x14ac:dyDescent="0.3">
      <c r="B146" s="57" t="s">
        <v>19</v>
      </c>
      <c r="C146" s="58" t="s">
        <v>16</v>
      </c>
      <c r="D146" s="59" t="str">
        <f t="shared" ref="D146:D151" si="134">VLOOKUP(B146,Rate_Table,2,0)</f>
        <v>Muhammed Kurt</v>
      </c>
      <c r="E146" s="60">
        <f t="shared" ref="E146:E167" si="135">SUM(O146:CI146)</f>
        <v>100</v>
      </c>
      <c r="F146" s="61" t="e">
        <f t="shared" ref="F146:F167" si="136">E146*D146</f>
        <v>#VALUE!</v>
      </c>
      <c r="G146" s="62">
        <v>2500</v>
      </c>
      <c r="H146" s="60">
        <f t="shared" ref="H146:H151" si="137">INT(COUNT(O146:CI146)*1)</f>
        <v>2</v>
      </c>
      <c r="I146" s="61">
        <f t="shared" ref="I146:I167" si="138">H146*G146</f>
        <v>5000</v>
      </c>
      <c r="J146" s="61" t="e">
        <f t="shared" ref="J146:J167" si="139">SUM(F146,I146)</f>
        <v>#VALUE!</v>
      </c>
      <c r="K146" s="139" cm="1">
        <f t="array" ref="K146">IFERROR(INDEX($O$6:$EM$6,MATCH(TRUE,O146:EM146&lt;&gt;"",0)),"")</f>
        <v>46418</v>
      </c>
      <c r="L146" s="139" cm="1">
        <f t="array" ref="L146">IFERROR(INDEX($O$6:$CI$6,_xlfn.XMATCH(1,(O146:CI146&lt;&gt;"")*1,,-1))-1,"")</f>
        <v>46424</v>
      </c>
      <c r="M146" s="60">
        <f t="shared" ref="M146:M167" si="140">COUNTA(O146:EM146)</f>
        <v>3</v>
      </c>
      <c r="N146" s="63">
        <f t="shared" si="127"/>
        <v>46419</v>
      </c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92"/>
      <c r="AJ146" s="60"/>
      <c r="AK146" s="60"/>
      <c r="AL146" s="60"/>
      <c r="AM146" s="60"/>
      <c r="AN146" s="98"/>
      <c r="AO146" s="60"/>
      <c r="AP146" s="60"/>
      <c r="AQ146" s="60"/>
      <c r="AR146" s="104"/>
      <c r="AS146" s="60"/>
      <c r="AT146" s="60"/>
      <c r="AU146" s="60"/>
      <c r="AV146" s="117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>
        <v>50</v>
      </c>
      <c r="BW146" s="60">
        <v>50</v>
      </c>
      <c r="BX146" s="60"/>
      <c r="BY146" s="60"/>
      <c r="BZ146" s="60"/>
      <c r="CA146" s="60"/>
      <c r="CB146" s="60"/>
      <c r="CC146" s="60"/>
      <c r="CD146" s="60"/>
      <c r="CE146" s="60"/>
      <c r="CF146" s="58"/>
      <c r="CG146" s="58"/>
      <c r="CH146" s="58"/>
      <c r="CI146" s="58"/>
      <c r="CJ146" s="58" t="s">
        <v>144</v>
      </c>
    </row>
    <row r="147" spans="1:88" x14ac:dyDescent="0.3">
      <c r="B147" s="57" t="s">
        <v>20</v>
      </c>
      <c r="C147" s="58" t="s">
        <v>16</v>
      </c>
      <c r="D147" s="59" t="str">
        <f t="shared" si="134"/>
        <v>Carter Corey</v>
      </c>
      <c r="E147" s="60">
        <f t="shared" si="135"/>
        <v>100</v>
      </c>
      <c r="F147" s="61" t="e">
        <f t="shared" si="136"/>
        <v>#VALUE!</v>
      </c>
      <c r="G147" s="62">
        <v>2500</v>
      </c>
      <c r="H147" s="60">
        <f t="shared" si="137"/>
        <v>2</v>
      </c>
      <c r="I147" s="61">
        <f t="shared" si="138"/>
        <v>5000</v>
      </c>
      <c r="J147" s="61" t="e">
        <f t="shared" si="139"/>
        <v>#VALUE!</v>
      </c>
      <c r="K147" s="139" cm="1">
        <f t="array" ref="K147">IFERROR(INDEX($O$6:$EM$6,MATCH(TRUE,O147:EM147&lt;&gt;"",0)),"")</f>
        <v>46418</v>
      </c>
      <c r="L147" s="139" cm="1">
        <f t="array" ref="L147">IFERROR(INDEX($O$6:$CI$6,_xlfn.XMATCH(1,(O147:CI147&lt;&gt;"")*1,,-1))-1,"")</f>
        <v>46424</v>
      </c>
      <c r="M147" s="60">
        <f t="shared" si="140"/>
        <v>3</v>
      </c>
      <c r="N147" s="63">
        <f t="shared" si="127"/>
        <v>46419</v>
      </c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92"/>
      <c r="AJ147" s="60"/>
      <c r="AK147" s="60"/>
      <c r="AL147" s="60"/>
      <c r="AM147" s="60"/>
      <c r="AN147" s="98"/>
      <c r="AO147" s="60"/>
      <c r="AP147" s="60"/>
      <c r="AQ147" s="60"/>
      <c r="AR147" s="104"/>
      <c r="AS147" s="60"/>
      <c r="AT147" s="60"/>
      <c r="AU147" s="60"/>
      <c r="AV147" s="117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>
        <v>50</v>
      </c>
      <c r="BW147" s="60">
        <v>50</v>
      </c>
      <c r="BX147" s="60"/>
      <c r="BY147" s="60"/>
      <c r="BZ147" s="60"/>
      <c r="CA147" s="60"/>
      <c r="CB147" s="60"/>
      <c r="CC147" s="60"/>
      <c r="CD147" s="60"/>
      <c r="CE147" s="60"/>
      <c r="CF147" s="58"/>
      <c r="CG147" s="58"/>
      <c r="CH147" s="58"/>
      <c r="CI147" s="58"/>
      <c r="CJ147" s="58" t="s">
        <v>144</v>
      </c>
    </row>
    <row r="148" spans="1:88" x14ac:dyDescent="0.3">
      <c r="B148" s="51" t="s">
        <v>59</v>
      </c>
      <c r="C148" s="44" t="s">
        <v>16</v>
      </c>
      <c r="D148" s="52" t="str">
        <f t="shared" si="134"/>
        <v>Kevin Duong</v>
      </c>
      <c r="E148" s="53">
        <f>SUM(O148:CI148)</f>
        <v>100</v>
      </c>
      <c r="F148" s="54" t="e">
        <f>E148*D148</f>
        <v>#VALUE!</v>
      </c>
      <c r="G148" s="55">
        <v>2500</v>
      </c>
      <c r="H148" s="53">
        <f t="shared" si="137"/>
        <v>2</v>
      </c>
      <c r="I148" s="54">
        <f>H148*G148</f>
        <v>5000</v>
      </c>
      <c r="J148" s="54" t="e">
        <f>SUM(F148,I148)</f>
        <v>#VALUE!</v>
      </c>
      <c r="K148" s="140" cm="1">
        <f t="array" ref="K148">IFERROR(INDEX($O$6:$EM$6,MATCH(TRUE,O148:EM148&lt;&gt;"",0)),"")</f>
        <v>46418</v>
      </c>
      <c r="L148" s="140" cm="1">
        <f t="array" ref="L148">IFERROR(INDEX($O$6:$CI$6,_xlfn.XMATCH(1,(O148:CI148&lt;&gt;"")*1,,-1))-1,"")</f>
        <v>46424</v>
      </c>
      <c r="M148" s="53">
        <f>COUNTA(O148:EM148)</f>
        <v>3</v>
      </c>
      <c r="N148" s="56">
        <f>IFERROR(K148+1,"")</f>
        <v>46419</v>
      </c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92"/>
      <c r="AJ148" s="53"/>
      <c r="AK148" s="53"/>
      <c r="AL148" s="53"/>
      <c r="AM148" s="53"/>
      <c r="AN148" s="98"/>
      <c r="AO148" s="53"/>
      <c r="AP148" s="53"/>
      <c r="AQ148" s="53"/>
      <c r="AR148" s="104"/>
      <c r="AS148" s="53"/>
      <c r="AT148" s="53"/>
      <c r="AU148" s="53"/>
      <c r="AV148" s="117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>
        <v>50</v>
      </c>
      <c r="BW148" s="53">
        <v>50</v>
      </c>
      <c r="BX148" s="53"/>
      <c r="BY148" s="53"/>
      <c r="BZ148" s="53"/>
      <c r="CA148" s="53"/>
      <c r="CB148" s="53"/>
      <c r="CC148" s="53"/>
      <c r="CD148" s="53"/>
      <c r="CE148" s="53"/>
      <c r="CF148" s="44"/>
      <c r="CG148" s="44"/>
      <c r="CH148" s="44"/>
      <c r="CI148" s="44"/>
      <c r="CJ148" s="44" t="s">
        <v>144</v>
      </c>
    </row>
    <row r="149" spans="1:88" x14ac:dyDescent="0.3">
      <c r="B149" s="57" t="s">
        <v>21</v>
      </c>
      <c r="C149" s="58" t="s">
        <v>16</v>
      </c>
      <c r="D149" s="59" t="str">
        <f t="shared" si="134"/>
        <v>Connor Paxton</v>
      </c>
      <c r="E149" s="60">
        <f t="shared" si="135"/>
        <v>100</v>
      </c>
      <c r="F149" s="61" t="e">
        <f t="shared" si="136"/>
        <v>#VALUE!</v>
      </c>
      <c r="G149" s="62">
        <v>2500</v>
      </c>
      <c r="H149" s="60">
        <f t="shared" si="137"/>
        <v>2</v>
      </c>
      <c r="I149" s="61">
        <f t="shared" si="138"/>
        <v>5000</v>
      </c>
      <c r="J149" s="61" t="e">
        <f t="shared" si="139"/>
        <v>#VALUE!</v>
      </c>
      <c r="K149" s="139" cm="1">
        <f t="array" ref="K149">IFERROR(INDEX($O$6:$EM$6,MATCH(TRUE,O149:EM149&lt;&gt;"",0)),"")</f>
        <v>46418</v>
      </c>
      <c r="L149" s="139" cm="1">
        <f t="array" ref="L149">IFERROR(INDEX($O$6:$CI$6,_xlfn.XMATCH(1,(O149:CI149&lt;&gt;"")*1,,-1))-1,"")</f>
        <v>46424</v>
      </c>
      <c r="M149" s="60">
        <f t="shared" si="140"/>
        <v>3</v>
      </c>
      <c r="N149" s="63">
        <f t="shared" si="127"/>
        <v>46419</v>
      </c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92"/>
      <c r="AJ149" s="60"/>
      <c r="AK149" s="60"/>
      <c r="AL149" s="60"/>
      <c r="AM149" s="60"/>
      <c r="AN149" s="98"/>
      <c r="AO149" s="60"/>
      <c r="AP149" s="60"/>
      <c r="AQ149" s="60"/>
      <c r="AR149" s="104"/>
      <c r="AS149" s="60"/>
      <c r="AT149" s="60"/>
      <c r="AU149" s="60"/>
      <c r="AV149" s="117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>
        <v>50</v>
      </c>
      <c r="BW149" s="60">
        <v>50</v>
      </c>
      <c r="BX149" s="60"/>
      <c r="BY149" s="60"/>
      <c r="BZ149" s="60"/>
      <c r="CA149" s="60"/>
      <c r="CB149" s="60"/>
      <c r="CC149" s="60"/>
      <c r="CD149" s="60"/>
      <c r="CE149" s="60"/>
      <c r="CF149" s="58"/>
      <c r="CG149" s="58"/>
      <c r="CH149" s="58"/>
      <c r="CI149" s="58"/>
      <c r="CJ149" s="58" t="s">
        <v>144</v>
      </c>
    </row>
    <row r="150" spans="1:88" x14ac:dyDescent="0.3">
      <c r="B150" s="57" t="s">
        <v>22</v>
      </c>
      <c r="C150" s="58" t="s">
        <v>16</v>
      </c>
      <c r="D150" s="59" t="str">
        <f t="shared" si="134"/>
        <v>Kedric Benford</v>
      </c>
      <c r="E150" s="60">
        <f t="shared" si="135"/>
        <v>100</v>
      </c>
      <c r="F150" s="61" t="e">
        <f t="shared" si="136"/>
        <v>#VALUE!</v>
      </c>
      <c r="G150" s="62">
        <v>2500</v>
      </c>
      <c r="H150" s="60">
        <f t="shared" si="137"/>
        <v>2</v>
      </c>
      <c r="I150" s="61">
        <f t="shared" si="138"/>
        <v>5000</v>
      </c>
      <c r="J150" s="61" t="e">
        <f t="shared" si="139"/>
        <v>#VALUE!</v>
      </c>
      <c r="K150" s="139" cm="1">
        <f t="array" ref="K150">IFERROR(INDEX($O$6:$EM$6,MATCH(TRUE,O150:EM150&lt;&gt;"",0)),"")</f>
        <v>46418</v>
      </c>
      <c r="L150" s="139" cm="1">
        <f t="array" ref="L150">IFERROR(INDEX($O$6:$CI$6,_xlfn.XMATCH(1,(O150:CI150&lt;&gt;"")*1,,-1))-1,"")</f>
        <v>46424</v>
      </c>
      <c r="M150" s="60">
        <f t="shared" si="140"/>
        <v>3</v>
      </c>
      <c r="N150" s="63">
        <f t="shared" si="127"/>
        <v>46419</v>
      </c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92"/>
      <c r="AJ150" s="60"/>
      <c r="AK150" s="60"/>
      <c r="AL150" s="60"/>
      <c r="AM150" s="60"/>
      <c r="AN150" s="98"/>
      <c r="AO150" s="60"/>
      <c r="AP150" s="60"/>
      <c r="AQ150" s="60"/>
      <c r="AR150" s="104"/>
      <c r="AS150" s="60"/>
      <c r="AT150" s="60"/>
      <c r="AU150" s="60"/>
      <c r="AV150" s="117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>
        <v>50</v>
      </c>
      <c r="BW150" s="60">
        <v>50</v>
      </c>
      <c r="BX150" s="60"/>
      <c r="BY150" s="60"/>
      <c r="BZ150" s="60"/>
      <c r="CA150" s="60"/>
      <c r="CB150" s="60"/>
      <c r="CC150" s="60"/>
      <c r="CD150" s="60"/>
      <c r="CE150" s="60"/>
      <c r="CF150" s="58"/>
      <c r="CG150" s="58"/>
      <c r="CH150" s="58"/>
      <c r="CI150" s="58"/>
      <c r="CJ150" s="58" t="s">
        <v>144</v>
      </c>
    </row>
    <row r="151" spans="1:88" x14ac:dyDescent="0.3">
      <c r="B151" s="51" t="s">
        <v>60</v>
      </c>
      <c r="C151" s="44" t="s">
        <v>16</v>
      </c>
      <c r="D151" s="52" t="str">
        <f t="shared" si="134"/>
        <v>Mohamed Ben-Salah</v>
      </c>
      <c r="E151" s="53">
        <f t="shared" ref="E151" si="141">SUM(O151:CI151)</f>
        <v>100</v>
      </c>
      <c r="F151" s="54" t="e">
        <f t="shared" ref="F151" si="142">E151*D151</f>
        <v>#VALUE!</v>
      </c>
      <c r="G151" s="55">
        <v>2500</v>
      </c>
      <c r="H151" s="53">
        <f t="shared" si="137"/>
        <v>2</v>
      </c>
      <c r="I151" s="54">
        <f t="shared" ref="I151" si="143">H151*G151</f>
        <v>5000</v>
      </c>
      <c r="J151" s="54" t="e">
        <f t="shared" ref="J151" si="144">SUM(F151,I151)</f>
        <v>#VALUE!</v>
      </c>
      <c r="K151" s="140" cm="1">
        <f t="array" ref="K151">IFERROR(INDEX($O$6:$EM$6,MATCH(TRUE,O151:EM151&lt;&gt;"",0)),"")</f>
        <v>46418</v>
      </c>
      <c r="L151" s="140" cm="1">
        <f t="array" ref="L151">IFERROR(INDEX($O$6:$CI$6,_xlfn.XMATCH(1,(O151:CI151&lt;&gt;"")*1,,-1))-1,"")</f>
        <v>46424</v>
      </c>
      <c r="M151" s="53">
        <f t="shared" ref="M151" si="145">COUNTA(O151:EM151)</f>
        <v>3</v>
      </c>
      <c r="N151" s="56">
        <f t="shared" ref="N151" si="146">IFERROR(K151+1,"")</f>
        <v>46419</v>
      </c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92"/>
      <c r="AJ151" s="53"/>
      <c r="AK151" s="53"/>
      <c r="AL151" s="53"/>
      <c r="AM151" s="53"/>
      <c r="AN151" s="98"/>
      <c r="AO151" s="53"/>
      <c r="AP151" s="53"/>
      <c r="AQ151" s="53"/>
      <c r="AR151" s="104"/>
      <c r="AS151" s="53"/>
      <c r="AT151" s="53"/>
      <c r="AU151" s="53"/>
      <c r="AV151" s="117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>
        <v>50</v>
      </c>
      <c r="BW151" s="53">
        <v>50</v>
      </c>
      <c r="BX151" s="53"/>
      <c r="BY151" s="53"/>
      <c r="BZ151" s="53"/>
      <c r="CA151" s="53"/>
      <c r="CB151" s="53"/>
      <c r="CC151" s="53"/>
      <c r="CD151" s="53"/>
      <c r="CE151" s="53"/>
      <c r="CF151" s="44"/>
      <c r="CG151" s="44"/>
      <c r="CH151" s="44"/>
      <c r="CI151" s="44"/>
      <c r="CJ151" s="44" t="s">
        <v>144</v>
      </c>
    </row>
    <row r="152" spans="1:88" s="18" customFormat="1" ht="15.6" x14ac:dyDescent="0.3">
      <c r="A152" s="21" t="s">
        <v>69</v>
      </c>
      <c r="B152" s="21"/>
      <c r="C152" s="22"/>
      <c r="D152" s="23"/>
      <c r="E152" s="24">
        <f>SUM(E139:E151)</f>
        <v>1750</v>
      </c>
      <c r="F152" s="25" t="e">
        <f>SUM(F139:F151)</f>
        <v>#VALUE!</v>
      </c>
      <c r="G152" s="26"/>
      <c r="H152" s="24"/>
      <c r="I152" s="25">
        <f>SUM(I139:I151)</f>
        <v>87500</v>
      </c>
      <c r="J152" s="25" t="e">
        <f>SUM(J139:J151)</f>
        <v>#VALUE!</v>
      </c>
      <c r="K152" s="138"/>
      <c r="L152" s="138"/>
      <c r="M152" s="24"/>
      <c r="N152" s="27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93"/>
      <c r="AJ152" s="24"/>
      <c r="AK152" s="24"/>
      <c r="AL152" s="24"/>
      <c r="AM152" s="24"/>
      <c r="AN152" s="99"/>
      <c r="AO152" s="24"/>
      <c r="AP152" s="24"/>
      <c r="AQ152" s="24"/>
      <c r="AR152" s="105"/>
      <c r="AS152" s="24"/>
      <c r="AT152" s="24"/>
      <c r="AU152" s="24"/>
      <c r="AV152" s="118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2"/>
      <c r="CG152" s="22"/>
      <c r="CH152" s="22"/>
      <c r="CI152" s="22"/>
      <c r="CJ152" s="1" t="s">
        <v>144</v>
      </c>
    </row>
    <row r="153" spans="1:88" x14ac:dyDescent="0.3">
      <c r="B153" s="7"/>
      <c r="D153" s="12"/>
      <c r="F153" s="15"/>
      <c r="G153" s="13"/>
      <c r="I153" s="15"/>
      <c r="J153" s="15"/>
      <c r="K153" s="135"/>
      <c r="L153" s="135"/>
      <c r="N153" s="5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92"/>
      <c r="AJ153" s="16"/>
      <c r="AK153" s="16"/>
      <c r="AL153" s="16"/>
      <c r="AM153" s="16"/>
      <c r="AN153" s="98"/>
      <c r="AO153" s="16"/>
      <c r="AP153" s="16"/>
      <c r="AQ153" s="16"/>
      <c r="AR153" s="104"/>
      <c r="AS153" s="16"/>
      <c r="AT153" s="16"/>
      <c r="AU153" s="16"/>
      <c r="AV153" s="117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J153" s="1" t="s">
        <v>144</v>
      </c>
    </row>
    <row r="154" spans="1:88" x14ac:dyDescent="0.3">
      <c r="A154" s="9" t="s">
        <v>35</v>
      </c>
      <c r="B154" s="7"/>
      <c r="D154" s="12"/>
      <c r="F154" s="15"/>
      <c r="G154" s="13"/>
      <c r="I154" s="15"/>
      <c r="J154" s="15"/>
      <c r="K154" s="135"/>
      <c r="L154" s="135"/>
      <c r="N154" s="5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92"/>
      <c r="AJ154" s="16"/>
      <c r="AK154" s="16"/>
      <c r="AL154" s="16"/>
      <c r="AM154" s="16"/>
      <c r="AN154" s="98"/>
      <c r="AO154" s="16"/>
      <c r="AP154" s="16"/>
      <c r="AQ154" s="16"/>
      <c r="AR154" s="104"/>
      <c r="AS154" s="16"/>
      <c r="AT154" s="16"/>
      <c r="AU154" s="16"/>
      <c r="AV154" s="117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J154" s="1" t="s">
        <v>144</v>
      </c>
    </row>
    <row r="155" spans="1:88" x14ac:dyDescent="0.3">
      <c r="B155" s="85" t="s">
        <v>70</v>
      </c>
      <c r="D155" s="12"/>
      <c r="F155" s="15"/>
      <c r="G155" s="13"/>
      <c r="I155" s="15"/>
      <c r="J155" s="15"/>
      <c r="K155" s="135"/>
      <c r="L155" s="135"/>
      <c r="N155" s="5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92"/>
      <c r="AJ155" s="16"/>
      <c r="AK155" s="16"/>
      <c r="AL155" s="16"/>
      <c r="AM155" s="16"/>
      <c r="AN155" s="98"/>
      <c r="AO155" s="16"/>
      <c r="AP155" s="16"/>
      <c r="AQ155" s="16"/>
      <c r="AR155" s="104"/>
      <c r="AS155" s="16"/>
      <c r="AT155" s="16"/>
      <c r="AU155" s="16"/>
      <c r="AV155" s="117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J155" s="1" t="s">
        <v>144</v>
      </c>
    </row>
    <row r="156" spans="1:88" x14ac:dyDescent="0.3">
      <c r="B156" s="57" t="s">
        <v>17</v>
      </c>
      <c r="C156" s="58" t="s">
        <v>16</v>
      </c>
      <c r="D156" s="59" t="str">
        <f t="shared" ref="D156:D161" si="147">VLOOKUP(B156,Rate_Table,2,0)</f>
        <v>Tyler Dunlap</v>
      </c>
      <c r="E156" s="60">
        <f t="shared" si="135"/>
        <v>200</v>
      </c>
      <c r="F156" s="61" t="e">
        <f t="shared" si="136"/>
        <v>#VALUE!</v>
      </c>
      <c r="G156" s="62">
        <v>2500</v>
      </c>
      <c r="H156" s="60">
        <f t="shared" ref="H156:H161" si="148">INT(COUNT(O156:CI156)*1)</f>
        <v>4</v>
      </c>
      <c r="I156" s="61">
        <f t="shared" si="138"/>
        <v>10000</v>
      </c>
      <c r="J156" s="61" t="e">
        <f t="shared" si="139"/>
        <v>#VALUE!</v>
      </c>
      <c r="K156" s="139" cm="1">
        <f t="array" ref="K156">IFERROR(INDEX($O$6:$EM$6,MATCH(TRUE,O156:EM156&lt;&gt;"",0)),"")</f>
        <v>46425</v>
      </c>
      <c r="L156" s="139" cm="1">
        <f t="array" ref="L156">IFERROR(INDEX($O$6:$CI$6,_xlfn.XMATCH(1,(O156:CI156&lt;&gt;"")*1,,-1))-1,"")</f>
        <v>46445</v>
      </c>
      <c r="M156" s="60">
        <f t="shared" si="140"/>
        <v>5</v>
      </c>
      <c r="N156" s="63">
        <f t="shared" ref="N156:N160" si="149">IFERROR(K156+1,"")</f>
        <v>46426</v>
      </c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92"/>
      <c r="AJ156" s="60"/>
      <c r="AK156" s="60"/>
      <c r="AL156" s="60"/>
      <c r="AM156" s="60"/>
      <c r="AN156" s="98"/>
      <c r="AO156" s="60"/>
      <c r="AP156" s="60"/>
      <c r="AQ156" s="60"/>
      <c r="AR156" s="104"/>
      <c r="AS156" s="60"/>
      <c r="AT156" s="60"/>
      <c r="AU156" s="60"/>
      <c r="AV156" s="117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>
        <v>50</v>
      </c>
      <c r="BX156" s="60">
        <v>50</v>
      </c>
      <c r="BY156" s="60">
        <v>50</v>
      </c>
      <c r="BZ156" s="60">
        <v>50</v>
      </c>
      <c r="CA156" s="60"/>
      <c r="CB156" s="60"/>
      <c r="CC156" s="60"/>
      <c r="CD156" s="60"/>
      <c r="CE156" s="60"/>
      <c r="CF156" s="58"/>
      <c r="CG156" s="58"/>
      <c r="CH156" s="58"/>
      <c r="CI156" s="58"/>
      <c r="CJ156" s="58" t="s">
        <v>144</v>
      </c>
    </row>
    <row r="157" spans="1:88" x14ac:dyDescent="0.3">
      <c r="B157" s="57" t="s">
        <v>18</v>
      </c>
      <c r="C157" s="58" t="s">
        <v>16</v>
      </c>
      <c r="D157" s="59" t="str">
        <f t="shared" si="147"/>
        <v>Zach Tucker</v>
      </c>
      <c r="E157" s="60">
        <f t="shared" si="135"/>
        <v>200</v>
      </c>
      <c r="F157" s="61" t="e">
        <f t="shared" si="136"/>
        <v>#VALUE!</v>
      </c>
      <c r="G157" s="62">
        <v>2500</v>
      </c>
      <c r="H157" s="60">
        <f t="shared" si="148"/>
        <v>4</v>
      </c>
      <c r="I157" s="61">
        <f t="shared" si="138"/>
        <v>10000</v>
      </c>
      <c r="J157" s="61" t="e">
        <f t="shared" si="139"/>
        <v>#VALUE!</v>
      </c>
      <c r="K157" s="139" cm="1">
        <f t="array" ref="K157">IFERROR(INDEX($O$6:$EM$6,MATCH(TRUE,O157:EM157&lt;&gt;"",0)),"")</f>
        <v>46425</v>
      </c>
      <c r="L157" s="139" cm="1">
        <f t="array" ref="L157">IFERROR(INDEX($O$6:$CI$6,_xlfn.XMATCH(1,(O157:CI157&lt;&gt;"")*1,,-1))-1,"")</f>
        <v>46445</v>
      </c>
      <c r="M157" s="60">
        <f t="shared" si="140"/>
        <v>5</v>
      </c>
      <c r="N157" s="63">
        <f t="shared" si="149"/>
        <v>46426</v>
      </c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92"/>
      <c r="AJ157" s="60"/>
      <c r="AK157" s="60"/>
      <c r="AL157" s="60"/>
      <c r="AM157" s="60"/>
      <c r="AN157" s="98"/>
      <c r="AO157" s="60"/>
      <c r="AP157" s="60"/>
      <c r="AQ157" s="60"/>
      <c r="AR157" s="104"/>
      <c r="AS157" s="60"/>
      <c r="AT157" s="60"/>
      <c r="AU157" s="60"/>
      <c r="AV157" s="117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>
        <v>50</v>
      </c>
      <c r="BX157" s="60">
        <v>50</v>
      </c>
      <c r="BY157" s="60">
        <v>50</v>
      </c>
      <c r="BZ157" s="60">
        <v>50</v>
      </c>
      <c r="CA157" s="60"/>
      <c r="CB157" s="60"/>
      <c r="CC157" s="60"/>
      <c r="CD157" s="60"/>
      <c r="CE157" s="60"/>
      <c r="CF157" s="58"/>
      <c r="CG157" s="58"/>
      <c r="CH157" s="58"/>
      <c r="CI157" s="58"/>
      <c r="CJ157" s="58" t="s">
        <v>144</v>
      </c>
    </row>
    <row r="158" spans="1:88" x14ac:dyDescent="0.3">
      <c r="B158" s="51" t="s">
        <v>55</v>
      </c>
      <c r="C158" s="44" t="s">
        <v>16</v>
      </c>
      <c r="D158" s="52" t="str">
        <f t="shared" si="147"/>
        <v>Tyler Roady</v>
      </c>
      <c r="E158" s="53">
        <f>SUM(O158:CI158)</f>
        <v>200</v>
      </c>
      <c r="F158" s="54" t="e">
        <f>E158*D158</f>
        <v>#VALUE!</v>
      </c>
      <c r="G158" s="55">
        <v>2500</v>
      </c>
      <c r="H158" s="53">
        <f t="shared" si="148"/>
        <v>4</v>
      </c>
      <c r="I158" s="54">
        <f>H158*G158</f>
        <v>10000</v>
      </c>
      <c r="J158" s="54" t="e">
        <f>SUM(F158,I158)</f>
        <v>#VALUE!</v>
      </c>
      <c r="K158" s="140" cm="1">
        <f t="array" ref="K158">IFERROR(INDEX($O$6:$EM$6,MATCH(TRUE,O158:EM158&lt;&gt;"",0)),"")</f>
        <v>46425</v>
      </c>
      <c r="L158" s="140" cm="1">
        <f t="array" ref="L158">IFERROR(INDEX($O$6:$CI$6,_xlfn.XMATCH(1,(O158:CI158&lt;&gt;"")*1,,-1))-1,"")</f>
        <v>46445</v>
      </c>
      <c r="M158" s="53">
        <f>COUNTA(O158:EM158)</f>
        <v>5</v>
      </c>
      <c r="N158" s="56">
        <f>IFERROR(K158+1,"")</f>
        <v>46426</v>
      </c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92"/>
      <c r="AJ158" s="53"/>
      <c r="AK158" s="53"/>
      <c r="AL158" s="53"/>
      <c r="AM158" s="53"/>
      <c r="AN158" s="98"/>
      <c r="AO158" s="53"/>
      <c r="AP158" s="53"/>
      <c r="AQ158" s="53"/>
      <c r="AR158" s="104"/>
      <c r="AS158" s="53"/>
      <c r="AT158" s="53"/>
      <c r="AU158" s="53"/>
      <c r="AV158" s="117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>
        <v>50</v>
      </c>
      <c r="BX158" s="53">
        <v>50</v>
      </c>
      <c r="BY158" s="53">
        <v>50</v>
      </c>
      <c r="BZ158" s="53">
        <v>50</v>
      </c>
      <c r="CA158" s="53"/>
      <c r="CB158" s="53"/>
      <c r="CC158" s="53"/>
      <c r="CD158" s="53"/>
      <c r="CE158" s="53"/>
      <c r="CF158" s="44"/>
      <c r="CG158" s="44"/>
      <c r="CH158" s="44"/>
      <c r="CI158" s="44"/>
      <c r="CJ158" s="44" t="s">
        <v>144</v>
      </c>
    </row>
    <row r="159" spans="1:88" x14ac:dyDescent="0.3">
      <c r="B159" s="57" t="s">
        <v>42</v>
      </c>
      <c r="C159" s="58" t="s">
        <v>16</v>
      </c>
      <c r="D159" s="59" t="str">
        <f t="shared" si="147"/>
        <v>Kaenon Stockglausner</v>
      </c>
      <c r="E159" s="60">
        <f t="shared" si="135"/>
        <v>200</v>
      </c>
      <c r="F159" s="61" t="e">
        <f t="shared" si="136"/>
        <v>#VALUE!</v>
      </c>
      <c r="G159" s="62">
        <v>2500</v>
      </c>
      <c r="H159" s="60">
        <f t="shared" si="148"/>
        <v>4</v>
      </c>
      <c r="I159" s="61">
        <f t="shared" si="138"/>
        <v>10000</v>
      </c>
      <c r="J159" s="61" t="e">
        <f t="shared" si="139"/>
        <v>#VALUE!</v>
      </c>
      <c r="K159" s="139" cm="1">
        <f t="array" ref="K159">IFERROR(INDEX($O$6:$EM$6,MATCH(TRUE,O159:EM159&lt;&gt;"",0)),"")</f>
        <v>46425</v>
      </c>
      <c r="L159" s="139" cm="1">
        <f t="array" ref="L159">IFERROR(INDEX($O$6:$CI$6,_xlfn.XMATCH(1,(O159:CI159&lt;&gt;"")*1,,-1))-1,"")</f>
        <v>46445</v>
      </c>
      <c r="M159" s="60">
        <f t="shared" si="140"/>
        <v>5</v>
      </c>
      <c r="N159" s="63">
        <f t="shared" si="149"/>
        <v>46426</v>
      </c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92"/>
      <c r="AJ159" s="60"/>
      <c r="AK159" s="60"/>
      <c r="AL159" s="60"/>
      <c r="AM159" s="60"/>
      <c r="AN159" s="98"/>
      <c r="AO159" s="60"/>
      <c r="AP159" s="60"/>
      <c r="AQ159" s="60"/>
      <c r="AR159" s="104"/>
      <c r="AS159" s="60"/>
      <c r="AT159" s="60"/>
      <c r="AU159" s="60"/>
      <c r="AV159" s="117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>
        <v>50</v>
      </c>
      <c r="BX159" s="60">
        <v>50</v>
      </c>
      <c r="BY159" s="60">
        <v>50</v>
      </c>
      <c r="BZ159" s="60">
        <v>50</v>
      </c>
      <c r="CA159" s="60"/>
      <c r="CB159" s="60"/>
      <c r="CC159" s="60"/>
      <c r="CD159" s="60"/>
      <c r="CE159" s="60"/>
      <c r="CF159" s="58"/>
      <c r="CG159" s="58"/>
      <c r="CH159" s="58"/>
      <c r="CI159" s="58"/>
      <c r="CJ159" s="58" t="s">
        <v>144</v>
      </c>
    </row>
    <row r="160" spans="1:88" x14ac:dyDescent="0.3">
      <c r="B160" s="57" t="s">
        <v>43</v>
      </c>
      <c r="C160" s="58" t="s">
        <v>16</v>
      </c>
      <c r="D160" s="59">
        <f t="shared" si="147"/>
        <v>0</v>
      </c>
      <c r="E160" s="60">
        <f t="shared" si="135"/>
        <v>200</v>
      </c>
      <c r="F160" s="61">
        <f t="shared" si="136"/>
        <v>0</v>
      </c>
      <c r="G160" s="62">
        <v>2500</v>
      </c>
      <c r="H160" s="60">
        <f t="shared" si="148"/>
        <v>4</v>
      </c>
      <c r="I160" s="61">
        <f t="shared" si="138"/>
        <v>10000</v>
      </c>
      <c r="J160" s="61">
        <f t="shared" si="139"/>
        <v>10000</v>
      </c>
      <c r="K160" s="139" cm="1">
        <f t="array" ref="K160">IFERROR(INDEX($O$6:$EM$6,MATCH(TRUE,O160:EM160&lt;&gt;"",0)),"")</f>
        <v>46425</v>
      </c>
      <c r="L160" s="139" cm="1">
        <f t="array" ref="L160">IFERROR(INDEX($O$6:$CI$6,_xlfn.XMATCH(1,(O160:CI160&lt;&gt;"")*1,,-1))-1,"")</f>
        <v>46445</v>
      </c>
      <c r="M160" s="60">
        <f t="shared" si="140"/>
        <v>5</v>
      </c>
      <c r="N160" s="63">
        <f t="shared" si="149"/>
        <v>46426</v>
      </c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92"/>
      <c r="AJ160" s="60"/>
      <c r="AK160" s="60"/>
      <c r="AL160" s="60"/>
      <c r="AM160" s="60"/>
      <c r="AN160" s="98"/>
      <c r="AO160" s="60"/>
      <c r="AP160" s="60"/>
      <c r="AQ160" s="60"/>
      <c r="AR160" s="104"/>
      <c r="AS160" s="60"/>
      <c r="AT160" s="60"/>
      <c r="AU160" s="60"/>
      <c r="AV160" s="117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>
        <v>50</v>
      </c>
      <c r="BX160" s="60">
        <v>50</v>
      </c>
      <c r="BY160" s="60">
        <v>50</v>
      </c>
      <c r="BZ160" s="60">
        <v>50</v>
      </c>
      <c r="CA160" s="60"/>
      <c r="CB160" s="60"/>
      <c r="CC160" s="60"/>
      <c r="CD160" s="60"/>
      <c r="CE160" s="60"/>
      <c r="CF160" s="58"/>
      <c r="CG160" s="58"/>
      <c r="CH160" s="58"/>
      <c r="CI160" s="58"/>
      <c r="CJ160" s="58" t="s">
        <v>144</v>
      </c>
    </row>
    <row r="161" spans="1:90" x14ac:dyDescent="0.3">
      <c r="B161" s="51" t="s">
        <v>56</v>
      </c>
      <c r="C161" s="44" t="s">
        <v>16</v>
      </c>
      <c r="D161" s="52" t="str">
        <f t="shared" si="147"/>
        <v>Erik Stockglausner</v>
      </c>
      <c r="E161" s="53">
        <f t="shared" ref="E161" si="150">SUM(O161:CI161)</f>
        <v>200</v>
      </c>
      <c r="F161" s="54" t="e">
        <f t="shared" ref="F161" si="151">E161*D161</f>
        <v>#VALUE!</v>
      </c>
      <c r="G161" s="55">
        <v>2500</v>
      </c>
      <c r="H161" s="53">
        <f t="shared" si="148"/>
        <v>4</v>
      </c>
      <c r="I161" s="54">
        <f t="shared" ref="I161" si="152">H161*G161</f>
        <v>10000</v>
      </c>
      <c r="J161" s="54" t="e">
        <f t="shared" ref="J161" si="153">SUM(F161,I161)</f>
        <v>#VALUE!</v>
      </c>
      <c r="K161" s="140" cm="1">
        <f t="array" ref="K161">IFERROR(INDEX($O$6:$EM$6,MATCH(TRUE,O161:EM161&lt;&gt;"",0)),"")</f>
        <v>46425</v>
      </c>
      <c r="L161" s="140" cm="1">
        <f t="array" ref="L161">IFERROR(INDEX($O$6:$CI$6,_xlfn.XMATCH(1,(O161:CI161&lt;&gt;"")*1,,-1))-1,"")</f>
        <v>46445</v>
      </c>
      <c r="M161" s="53">
        <f t="shared" ref="M161" si="154">COUNTA(O161:EM161)</f>
        <v>5</v>
      </c>
      <c r="N161" s="56">
        <f t="shared" ref="N161" si="155">IFERROR(K161+1,"")</f>
        <v>46426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92"/>
      <c r="AJ161" s="53"/>
      <c r="AK161" s="53"/>
      <c r="AL161" s="53"/>
      <c r="AM161" s="53"/>
      <c r="AN161" s="98"/>
      <c r="AO161" s="53"/>
      <c r="AP161" s="53"/>
      <c r="AQ161" s="53"/>
      <c r="AR161" s="104"/>
      <c r="AS161" s="53"/>
      <c r="AT161" s="53"/>
      <c r="AU161" s="53"/>
      <c r="AV161" s="117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>
        <v>50</v>
      </c>
      <c r="BX161" s="53">
        <v>50</v>
      </c>
      <c r="BY161" s="53">
        <v>50</v>
      </c>
      <c r="BZ161" s="53">
        <v>50</v>
      </c>
      <c r="CA161" s="53"/>
      <c r="CB161" s="53"/>
      <c r="CC161" s="53"/>
      <c r="CD161" s="53"/>
      <c r="CE161" s="53"/>
      <c r="CF161" s="44"/>
      <c r="CG161" s="44"/>
      <c r="CH161" s="44"/>
      <c r="CI161" s="44"/>
      <c r="CJ161" s="44" t="s">
        <v>144</v>
      </c>
    </row>
    <row r="162" spans="1:90" x14ac:dyDescent="0.3">
      <c r="B162" s="8" t="s">
        <v>49</v>
      </c>
      <c r="D162" s="12"/>
      <c r="F162" s="15"/>
      <c r="G162" s="13"/>
      <c r="I162" s="15"/>
      <c r="J162" s="15"/>
      <c r="K162" s="135"/>
      <c r="L162" s="135"/>
      <c r="N162" s="5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92"/>
      <c r="AJ162" s="16"/>
      <c r="AK162" s="16"/>
      <c r="AL162" s="16"/>
      <c r="AM162" s="16"/>
      <c r="AN162" s="98"/>
      <c r="AO162" s="16"/>
      <c r="AP162" s="16"/>
      <c r="AQ162" s="16"/>
      <c r="AR162" s="104"/>
      <c r="AS162" s="16"/>
      <c r="AT162" s="16"/>
      <c r="AU162" s="16"/>
      <c r="AV162" s="117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J162" s="1" t="s">
        <v>144</v>
      </c>
    </row>
    <row r="163" spans="1:90" x14ac:dyDescent="0.3">
      <c r="B163" s="57" t="s">
        <v>17</v>
      </c>
      <c r="C163" s="58" t="s">
        <v>16</v>
      </c>
      <c r="D163" s="59" t="str">
        <f t="shared" ref="D163:D168" si="156">VLOOKUP(B163,Rate_Table,2,0)</f>
        <v>Tyler Dunlap</v>
      </c>
      <c r="E163" s="60">
        <f t="shared" si="135"/>
        <v>100</v>
      </c>
      <c r="F163" s="61" t="e">
        <f t="shared" si="136"/>
        <v>#VALUE!</v>
      </c>
      <c r="G163" s="62">
        <v>2500</v>
      </c>
      <c r="H163" s="60">
        <f t="shared" ref="H163:H168" si="157">INT(COUNT(O163:CI163)*1)</f>
        <v>2</v>
      </c>
      <c r="I163" s="61">
        <f t="shared" si="138"/>
        <v>5000</v>
      </c>
      <c r="J163" s="61" t="e">
        <f t="shared" si="139"/>
        <v>#VALUE!</v>
      </c>
      <c r="K163" s="139" cm="1">
        <f t="array" ref="K163">IFERROR(INDEX($O$6:$EM$6,MATCH(TRUE,O163:EM163&lt;&gt;"",0)),"")</f>
        <v>46453</v>
      </c>
      <c r="L163" s="139" cm="1">
        <f t="array" ref="L163">IFERROR(INDEX($O$6:$CI$6,_xlfn.XMATCH(1,(O163:CI163&lt;&gt;"")*1,,-1))-1,"")</f>
        <v>46459</v>
      </c>
      <c r="M163" s="60">
        <f t="shared" si="140"/>
        <v>3</v>
      </c>
      <c r="N163" s="63">
        <f t="shared" ref="N163:N167" si="158">IFERROR(K163+1,"")</f>
        <v>46454</v>
      </c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92"/>
      <c r="AJ163" s="60"/>
      <c r="AK163" s="60"/>
      <c r="AL163" s="60"/>
      <c r="AM163" s="60"/>
      <c r="AN163" s="98"/>
      <c r="AO163" s="60"/>
      <c r="AP163" s="60"/>
      <c r="AQ163" s="60"/>
      <c r="AR163" s="104"/>
      <c r="AS163" s="60"/>
      <c r="AT163" s="60"/>
      <c r="AU163" s="60"/>
      <c r="AV163" s="117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>
        <v>50</v>
      </c>
      <c r="CB163" s="60">
        <v>50</v>
      </c>
      <c r="CC163" s="60"/>
      <c r="CD163" s="60"/>
      <c r="CE163" s="60"/>
      <c r="CF163" s="58"/>
      <c r="CG163" s="58"/>
      <c r="CH163" s="58"/>
      <c r="CI163" s="58"/>
      <c r="CJ163" s="58" t="s">
        <v>144</v>
      </c>
    </row>
    <row r="164" spans="1:90" x14ac:dyDescent="0.3">
      <c r="B164" s="57" t="s">
        <v>18</v>
      </c>
      <c r="C164" s="58" t="s">
        <v>16</v>
      </c>
      <c r="D164" s="59" t="str">
        <f t="shared" si="156"/>
        <v>Zach Tucker</v>
      </c>
      <c r="E164" s="60">
        <f t="shared" si="135"/>
        <v>100</v>
      </c>
      <c r="F164" s="61" t="e">
        <f t="shared" si="136"/>
        <v>#VALUE!</v>
      </c>
      <c r="G164" s="62">
        <v>2500</v>
      </c>
      <c r="H164" s="60">
        <f t="shared" si="157"/>
        <v>2</v>
      </c>
      <c r="I164" s="61">
        <f t="shared" si="138"/>
        <v>5000</v>
      </c>
      <c r="J164" s="61" t="e">
        <f t="shared" si="139"/>
        <v>#VALUE!</v>
      </c>
      <c r="K164" s="139" cm="1">
        <f t="array" ref="K164">IFERROR(INDEX($O$6:$EM$6,MATCH(TRUE,O164:EM164&lt;&gt;"",0)),"")</f>
        <v>46453</v>
      </c>
      <c r="L164" s="139" cm="1">
        <f t="array" ref="L164">IFERROR(INDEX($O$6:$CI$6,_xlfn.XMATCH(1,(O164:CI164&lt;&gt;"")*1,,-1))-1,"")</f>
        <v>46459</v>
      </c>
      <c r="M164" s="60">
        <f t="shared" si="140"/>
        <v>3</v>
      </c>
      <c r="N164" s="63">
        <f t="shared" si="158"/>
        <v>46454</v>
      </c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92"/>
      <c r="AJ164" s="60"/>
      <c r="AK164" s="60"/>
      <c r="AL164" s="60"/>
      <c r="AM164" s="60"/>
      <c r="AN164" s="98"/>
      <c r="AO164" s="60"/>
      <c r="AP164" s="60"/>
      <c r="AQ164" s="60"/>
      <c r="AR164" s="104"/>
      <c r="AS164" s="60"/>
      <c r="AT164" s="60"/>
      <c r="AU164" s="60"/>
      <c r="AV164" s="117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>
        <v>50</v>
      </c>
      <c r="CB164" s="60">
        <v>50</v>
      </c>
      <c r="CC164" s="60"/>
      <c r="CD164" s="60"/>
      <c r="CE164" s="60"/>
      <c r="CF164" s="58"/>
      <c r="CG164" s="58"/>
      <c r="CH164" s="58"/>
      <c r="CI164" s="58"/>
      <c r="CJ164" s="58" t="s">
        <v>144</v>
      </c>
    </row>
    <row r="165" spans="1:90" x14ac:dyDescent="0.3">
      <c r="B165" s="51" t="s">
        <v>55</v>
      </c>
      <c r="C165" s="44" t="s">
        <v>16</v>
      </c>
      <c r="D165" s="52" t="str">
        <f t="shared" si="156"/>
        <v>Tyler Roady</v>
      </c>
      <c r="E165" s="53">
        <f>SUM(O165:CI165)</f>
        <v>100</v>
      </c>
      <c r="F165" s="54" t="e">
        <f>E165*D165</f>
        <v>#VALUE!</v>
      </c>
      <c r="G165" s="55">
        <v>2500</v>
      </c>
      <c r="H165" s="53">
        <f t="shared" si="157"/>
        <v>2</v>
      </c>
      <c r="I165" s="54">
        <f>H165*G165</f>
        <v>5000</v>
      </c>
      <c r="J165" s="54" t="e">
        <f>SUM(F165,I165)</f>
        <v>#VALUE!</v>
      </c>
      <c r="K165" s="140" cm="1">
        <f t="array" ref="K165">IFERROR(INDEX($O$6:$EM$6,MATCH(TRUE,O165:EM165&lt;&gt;"",0)),"")</f>
        <v>46453</v>
      </c>
      <c r="L165" s="140" cm="1">
        <f t="array" ref="L165">IFERROR(INDEX($O$6:$CI$6,_xlfn.XMATCH(1,(O165:CI165&lt;&gt;"")*1,,-1))-1,"")</f>
        <v>46459</v>
      </c>
      <c r="M165" s="53">
        <f>COUNTA(O165:EM165)</f>
        <v>3</v>
      </c>
      <c r="N165" s="56">
        <f>IFERROR(K165+1,"")</f>
        <v>46454</v>
      </c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92"/>
      <c r="AJ165" s="53"/>
      <c r="AK165" s="53"/>
      <c r="AL165" s="53"/>
      <c r="AM165" s="53"/>
      <c r="AN165" s="98"/>
      <c r="AO165" s="53"/>
      <c r="AP165" s="53"/>
      <c r="AQ165" s="53"/>
      <c r="AR165" s="104"/>
      <c r="AS165" s="53"/>
      <c r="AT165" s="53"/>
      <c r="AU165" s="53"/>
      <c r="AV165" s="117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>
        <v>50</v>
      </c>
      <c r="CB165" s="53">
        <v>50</v>
      </c>
      <c r="CC165" s="53"/>
      <c r="CD165" s="53"/>
      <c r="CE165" s="53"/>
      <c r="CF165" s="44"/>
      <c r="CG165" s="44"/>
      <c r="CH165" s="44"/>
      <c r="CI165" s="44"/>
      <c r="CJ165" s="44" t="s">
        <v>144</v>
      </c>
    </row>
    <row r="166" spans="1:90" x14ac:dyDescent="0.3">
      <c r="B166" s="57" t="s">
        <v>42</v>
      </c>
      <c r="C166" s="58" t="s">
        <v>16</v>
      </c>
      <c r="D166" s="59" t="str">
        <f t="shared" si="156"/>
        <v>Kaenon Stockglausner</v>
      </c>
      <c r="E166" s="60">
        <f t="shared" si="135"/>
        <v>100</v>
      </c>
      <c r="F166" s="61" t="e">
        <f t="shared" si="136"/>
        <v>#VALUE!</v>
      </c>
      <c r="G166" s="62">
        <v>2500</v>
      </c>
      <c r="H166" s="60">
        <f t="shared" si="157"/>
        <v>2</v>
      </c>
      <c r="I166" s="61">
        <f t="shared" si="138"/>
        <v>5000</v>
      </c>
      <c r="J166" s="61" t="e">
        <f t="shared" si="139"/>
        <v>#VALUE!</v>
      </c>
      <c r="K166" s="139" cm="1">
        <f t="array" ref="K166">IFERROR(INDEX($O$6:$EM$6,MATCH(TRUE,O166:EM166&lt;&gt;"",0)),"")</f>
        <v>46453</v>
      </c>
      <c r="L166" s="139" cm="1">
        <f t="array" ref="L166">IFERROR(INDEX($O$6:$CI$6,_xlfn.XMATCH(1,(O166:CI166&lt;&gt;"")*1,,-1))-1,"")</f>
        <v>46459</v>
      </c>
      <c r="M166" s="60">
        <f t="shared" si="140"/>
        <v>3</v>
      </c>
      <c r="N166" s="63">
        <f t="shared" si="158"/>
        <v>46454</v>
      </c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92"/>
      <c r="AJ166" s="60"/>
      <c r="AK166" s="60"/>
      <c r="AL166" s="60"/>
      <c r="AM166" s="60"/>
      <c r="AN166" s="98"/>
      <c r="AO166" s="60"/>
      <c r="AP166" s="60"/>
      <c r="AQ166" s="60"/>
      <c r="AR166" s="104"/>
      <c r="AS166" s="60"/>
      <c r="AT166" s="60"/>
      <c r="AU166" s="60"/>
      <c r="AV166" s="117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>
        <v>50</v>
      </c>
      <c r="CB166" s="60">
        <v>50</v>
      </c>
      <c r="CC166" s="60"/>
      <c r="CD166" s="60"/>
      <c r="CE166" s="60"/>
      <c r="CF166" s="58"/>
      <c r="CG166" s="58"/>
      <c r="CH166" s="58"/>
      <c r="CI166" s="58"/>
      <c r="CJ166" s="58" t="s">
        <v>144</v>
      </c>
    </row>
    <row r="167" spans="1:90" x14ac:dyDescent="0.3">
      <c r="B167" s="57" t="s">
        <v>43</v>
      </c>
      <c r="C167" s="58" t="s">
        <v>16</v>
      </c>
      <c r="D167" s="59">
        <f t="shared" si="156"/>
        <v>0</v>
      </c>
      <c r="E167" s="60">
        <f t="shared" si="135"/>
        <v>100</v>
      </c>
      <c r="F167" s="61">
        <f t="shared" si="136"/>
        <v>0</v>
      </c>
      <c r="G167" s="62">
        <v>2500</v>
      </c>
      <c r="H167" s="60">
        <f t="shared" si="157"/>
        <v>2</v>
      </c>
      <c r="I167" s="61">
        <f t="shared" si="138"/>
        <v>5000</v>
      </c>
      <c r="J167" s="61">
        <f t="shared" si="139"/>
        <v>5000</v>
      </c>
      <c r="K167" s="139" cm="1">
        <f t="array" ref="K167">IFERROR(INDEX($O$6:$EM$6,MATCH(TRUE,O167:EM167&lt;&gt;"",0)),"")</f>
        <v>46453</v>
      </c>
      <c r="L167" s="139" cm="1">
        <f t="array" ref="L167">IFERROR(INDEX($O$6:$CI$6,_xlfn.XMATCH(1,(O167:CI167&lt;&gt;"")*1,,-1))-1,"")</f>
        <v>46459</v>
      </c>
      <c r="M167" s="60">
        <f t="shared" si="140"/>
        <v>3</v>
      </c>
      <c r="N167" s="63">
        <f t="shared" si="158"/>
        <v>46454</v>
      </c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92"/>
      <c r="AJ167" s="60"/>
      <c r="AK167" s="60"/>
      <c r="AL167" s="60"/>
      <c r="AM167" s="60"/>
      <c r="AN167" s="98"/>
      <c r="AO167" s="60"/>
      <c r="AP167" s="60"/>
      <c r="AQ167" s="60"/>
      <c r="AR167" s="104"/>
      <c r="AS167" s="60"/>
      <c r="AT167" s="60"/>
      <c r="AU167" s="60"/>
      <c r="AV167" s="117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>
        <v>50</v>
      </c>
      <c r="CB167" s="60">
        <v>50</v>
      </c>
      <c r="CC167" s="60"/>
      <c r="CD167" s="60"/>
      <c r="CE167" s="60"/>
      <c r="CF167" s="58"/>
      <c r="CG167" s="58"/>
      <c r="CH167" s="58"/>
      <c r="CI167" s="58"/>
      <c r="CJ167" s="58" t="s">
        <v>144</v>
      </c>
    </row>
    <row r="168" spans="1:90" x14ac:dyDescent="0.3">
      <c r="B168" s="51" t="s">
        <v>56</v>
      </c>
      <c r="C168" s="44" t="s">
        <v>16</v>
      </c>
      <c r="D168" s="52" t="str">
        <f t="shared" si="156"/>
        <v>Erik Stockglausner</v>
      </c>
      <c r="E168" s="53">
        <f t="shared" ref="E168" si="159">SUM(O168:CI168)</f>
        <v>100</v>
      </c>
      <c r="F168" s="54" t="e">
        <f t="shared" ref="F168" si="160">E168*D168</f>
        <v>#VALUE!</v>
      </c>
      <c r="G168" s="55">
        <v>2500</v>
      </c>
      <c r="H168" s="53">
        <f t="shared" si="157"/>
        <v>2</v>
      </c>
      <c r="I168" s="54">
        <f t="shared" ref="I168" si="161">H168*G168</f>
        <v>5000</v>
      </c>
      <c r="J168" s="54" t="e">
        <f t="shared" ref="J168" si="162">SUM(F168,I168)</f>
        <v>#VALUE!</v>
      </c>
      <c r="K168" s="140" cm="1">
        <f t="array" ref="K168">IFERROR(INDEX($O$6:$EM$6,MATCH(TRUE,O168:EM168&lt;&gt;"",0)),"")</f>
        <v>46453</v>
      </c>
      <c r="L168" s="140" cm="1">
        <f t="array" ref="L168">IFERROR(INDEX($O$6:$CI$6,_xlfn.XMATCH(1,(O168:CI168&lt;&gt;"")*1,,-1))-1,"")</f>
        <v>46459</v>
      </c>
      <c r="M168" s="53">
        <f t="shared" ref="M168" si="163">COUNTA(O168:EM168)</f>
        <v>3</v>
      </c>
      <c r="N168" s="56">
        <f t="shared" ref="N168" si="164">IFERROR(K168+1,"")</f>
        <v>46454</v>
      </c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92"/>
      <c r="AJ168" s="53"/>
      <c r="AK168" s="53"/>
      <c r="AL168" s="53"/>
      <c r="AM168" s="53"/>
      <c r="AN168" s="98"/>
      <c r="AO168" s="53"/>
      <c r="AP168" s="53"/>
      <c r="AQ168" s="53"/>
      <c r="AR168" s="104"/>
      <c r="AS168" s="53"/>
      <c r="AT168" s="53"/>
      <c r="AU168" s="53"/>
      <c r="AV168" s="117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>
        <v>50</v>
      </c>
      <c r="CB168" s="53">
        <v>50</v>
      </c>
      <c r="CC168" s="53"/>
      <c r="CD168" s="53"/>
      <c r="CE168" s="53"/>
      <c r="CF168" s="44"/>
      <c r="CG168" s="44"/>
      <c r="CH168" s="44"/>
      <c r="CI168" s="44"/>
      <c r="CJ168" s="44" t="s">
        <v>144</v>
      </c>
    </row>
    <row r="169" spans="1:90" s="18" customFormat="1" ht="15.6" x14ac:dyDescent="0.3">
      <c r="A169" s="21" t="s">
        <v>69</v>
      </c>
      <c r="B169" s="21"/>
      <c r="C169" s="22"/>
      <c r="D169" s="23"/>
      <c r="E169" s="24">
        <f>SUM(E156:E168)</f>
        <v>1800</v>
      </c>
      <c r="F169" s="25" t="e">
        <f>SUM(F156:F168)</f>
        <v>#VALUE!</v>
      </c>
      <c r="G169" s="26"/>
      <c r="H169" s="24"/>
      <c r="I169" s="25">
        <f>SUM(I156:I168)</f>
        <v>90000</v>
      </c>
      <c r="J169" s="25" t="e">
        <f>SUM(J156:J168)</f>
        <v>#VALUE!</v>
      </c>
      <c r="K169" s="138"/>
      <c r="L169" s="138"/>
      <c r="M169" s="24"/>
      <c r="N169" s="27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93"/>
      <c r="AJ169" s="24"/>
      <c r="AK169" s="24"/>
      <c r="AL169" s="24"/>
      <c r="AM169" s="24"/>
      <c r="AN169" s="99"/>
      <c r="AO169" s="24"/>
      <c r="AP169" s="24"/>
      <c r="AQ169" s="24"/>
      <c r="AR169" s="105"/>
      <c r="AS169" s="24"/>
      <c r="AT169" s="24"/>
      <c r="AU169" s="24"/>
      <c r="AV169" s="118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2"/>
      <c r="CG169" s="22"/>
      <c r="CH169" s="22"/>
      <c r="CI169" s="22"/>
    </row>
    <row r="170" spans="1:90" s="18" customFormat="1" ht="15.6" x14ac:dyDescent="0.3">
      <c r="A170" s="21" t="s">
        <v>73</v>
      </c>
      <c r="B170" s="21"/>
      <c r="C170" s="22"/>
      <c r="D170" s="23"/>
      <c r="E170" s="24">
        <f>SUM(E169,E152,E135,E116,E99,E82,E65,E43,E16)</f>
        <v>40910</v>
      </c>
      <c r="F170" s="25" t="e">
        <f>SUM(F169,F152,F135,F116,F99,F82,F65,F43,F16)</f>
        <v>#VALUE!</v>
      </c>
      <c r="G170" s="26"/>
      <c r="H170" s="24"/>
      <c r="I170" s="25">
        <f>SUM(I169,I152,I135,I116,I99,I82,I65,I43,I16)</f>
        <v>2030000</v>
      </c>
      <c r="J170" s="25" t="e">
        <f>SUM(J169,J152,J135,J116,J99,J82,J65,J43,J16)</f>
        <v>#VALUE!</v>
      </c>
      <c r="K170" s="138"/>
      <c r="L170" s="138"/>
      <c r="M170" s="24"/>
      <c r="N170" s="27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2"/>
      <c r="CG170" s="22"/>
      <c r="CH170" s="22"/>
      <c r="CI170" s="22"/>
    </row>
    <row r="171" spans="1:90" s="18" customFormat="1" ht="15.6" x14ac:dyDescent="0.3">
      <c r="A171" s="29"/>
      <c r="B171" s="29"/>
      <c r="D171" s="30"/>
      <c r="E171" s="31"/>
      <c r="F171" s="19"/>
      <c r="G171" s="32"/>
      <c r="H171" s="31"/>
      <c r="I171" s="19"/>
      <c r="J171" s="19" t="e">
        <f>J170-J43</f>
        <v>#VALUE!</v>
      </c>
      <c r="K171" s="143"/>
      <c r="L171" s="143"/>
      <c r="M171" s="31"/>
      <c r="N171" s="20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</row>
    <row r="172" spans="1:90" x14ac:dyDescent="0.3"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</row>
    <row r="173" spans="1:90" ht="15.6" x14ac:dyDescent="0.3">
      <c r="I173" s="18">
        <v>216</v>
      </c>
      <c r="J173" s="19" t="e">
        <f>J171/I173</f>
        <v>#VALUE!</v>
      </c>
      <c r="M173" s="40" t="s">
        <v>141</v>
      </c>
      <c r="N173" s="45" t="s">
        <v>12</v>
      </c>
      <c r="O173" s="66">
        <f t="shared" ref="O173:X182" si="165">SUMIFS(O$10:O$167,$B$10:$B$167,$N173)</f>
        <v>50</v>
      </c>
      <c r="P173" s="66">
        <f t="shared" si="165"/>
        <v>30</v>
      </c>
      <c r="Q173" s="66">
        <f t="shared" si="165"/>
        <v>30</v>
      </c>
      <c r="R173" s="66">
        <f t="shared" si="165"/>
        <v>50</v>
      </c>
      <c r="S173" s="66">
        <f t="shared" si="165"/>
        <v>50</v>
      </c>
      <c r="T173" s="66">
        <f t="shared" si="165"/>
        <v>50</v>
      </c>
      <c r="U173" s="66">
        <f t="shared" si="165"/>
        <v>50</v>
      </c>
      <c r="V173" s="66">
        <f t="shared" si="165"/>
        <v>50</v>
      </c>
      <c r="W173" s="66">
        <f t="shared" si="165"/>
        <v>50</v>
      </c>
      <c r="X173" s="66">
        <f t="shared" si="165"/>
        <v>50</v>
      </c>
      <c r="Y173" s="66">
        <f t="shared" ref="Y173:AH182" si="166">SUMIFS(Y$10:Y$167,$B$10:$B$167,$N173)</f>
        <v>50</v>
      </c>
      <c r="Z173" s="66">
        <f t="shared" si="166"/>
        <v>50</v>
      </c>
      <c r="AA173" s="66">
        <f t="shared" si="166"/>
        <v>50</v>
      </c>
      <c r="AB173" s="66">
        <f t="shared" si="166"/>
        <v>50</v>
      </c>
      <c r="AC173" s="66">
        <f t="shared" si="166"/>
        <v>50</v>
      </c>
      <c r="AD173" s="66">
        <f t="shared" si="166"/>
        <v>50</v>
      </c>
      <c r="AE173" s="66">
        <f t="shared" si="166"/>
        <v>50</v>
      </c>
      <c r="AF173" s="66">
        <f t="shared" si="166"/>
        <v>50</v>
      </c>
      <c r="AG173" s="66">
        <f t="shared" si="166"/>
        <v>50</v>
      </c>
      <c r="AH173" s="66">
        <f t="shared" si="166"/>
        <v>50</v>
      </c>
      <c r="AI173" s="66">
        <f t="shared" ref="AI173:AR182" si="167">SUMIFS(AI$10:AI$167,$B$10:$B$167,$N173)</f>
        <v>40</v>
      </c>
      <c r="AJ173" s="66">
        <f t="shared" si="167"/>
        <v>50</v>
      </c>
      <c r="AK173" s="66">
        <f t="shared" si="167"/>
        <v>50</v>
      </c>
      <c r="AL173" s="66">
        <f t="shared" si="167"/>
        <v>50</v>
      </c>
      <c r="AM173" s="66">
        <f t="shared" si="167"/>
        <v>50</v>
      </c>
      <c r="AN173" s="66">
        <f t="shared" si="167"/>
        <v>50</v>
      </c>
      <c r="AO173" s="66">
        <f t="shared" si="167"/>
        <v>50</v>
      </c>
      <c r="AP173" s="66">
        <f t="shared" si="167"/>
        <v>50</v>
      </c>
      <c r="AQ173" s="66">
        <f t="shared" si="167"/>
        <v>50</v>
      </c>
      <c r="AR173" s="66">
        <f t="shared" si="167"/>
        <v>40</v>
      </c>
      <c r="AS173" s="66">
        <f t="shared" ref="AS173:BB182" si="168">SUMIFS(AS$10:AS$167,$B$10:$B$167,$N173)</f>
        <v>50</v>
      </c>
      <c r="AT173" s="66">
        <f t="shared" si="168"/>
        <v>50</v>
      </c>
      <c r="AU173" s="66">
        <f t="shared" si="168"/>
        <v>50</v>
      </c>
      <c r="AV173" s="66">
        <f t="shared" si="168"/>
        <v>50</v>
      </c>
      <c r="AW173" s="66">
        <f t="shared" si="168"/>
        <v>50</v>
      </c>
      <c r="AX173" s="66">
        <f t="shared" si="168"/>
        <v>50</v>
      </c>
      <c r="AY173" s="66">
        <f t="shared" si="168"/>
        <v>50</v>
      </c>
      <c r="AZ173" s="66">
        <f t="shared" si="168"/>
        <v>50</v>
      </c>
      <c r="BA173" s="66">
        <f t="shared" si="168"/>
        <v>50</v>
      </c>
      <c r="BB173" s="66">
        <f t="shared" si="168"/>
        <v>50</v>
      </c>
      <c r="BC173" s="66">
        <f t="shared" ref="BC173:BL182" si="169">SUMIFS(BC$10:BC$167,$B$10:$B$167,$N173)</f>
        <v>50</v>
      </c>
      <c r="BD173" s="66">
        <f t="shared" si="169"/>
        <v>50</v>
      </c>
      <c r="BE173" s="66">
        <f t="shared" si="169"/>
        <v>50</v>
      </c>
      <c r="BF173" s="66">
        <f t="shared" si="169"/>
        <v>50</v>
      </c>
      <c r="BG173" s="66">
        <f t="shared" si="169"/>
        <v>50</v>
      </c>
      <c r="BH173" s="66">
        <f t="shared" si="169"/>
        <v>50</v>
      </c>
      <c r="BI173" s="66">
        <f t="shared" si="169"/>
        <v>50</v>
      </c>
      <c r="BJ173" s="66">
        <f t="shared" si="169"/>
        <v>50</v>
      </c>
      <c r="BK173" s="66">
        <f t="shared" si="169"/>
        <v>50</v>
      </c>
      <c r="BL173" s="66">
        <f t="shared" si="169"/>
        <v>50</v>
      </c>
      <c r="BM173" s="66">
        <f t="shared" ref="BM173:BV182" si="170">SUMIFS(BM$10:BM$167,$B$10:$B$167,$N173)</f>
        <v>30</v>
      </c>
      <c r="BN173" s="66">
        <f t="shared" si="170"/>
        <v>50</v>
      </c>
      <c r="BO173" s="66">
        <f t="shared" si="170"/>
        <v>50</v>
      </c>
      <c r="BP173" s="66">
        <f t="shared" si="170"/>
        <v>30</v>
      </c>
      <c r="BQ173" s="66">
        <f t="shared" si="170"/>
        <v>30</v>
      </c>
      <c r="BR173" s="66">
        <f t="shared" si="170"/>
        <v>50</v>
      </c>
      <c r="BS173" s="66">
        <f t="shared" si="170"/>
        <v>50</v>
      </c>
      <c r="BT173" s="66">
        <f t="shared" si="170"/>
        <v>50</v>
      </c>
      <c r="BU173" s="66">
        <f t="shared" si="170"/>
        <v>50</v>
      </c>
      <c r="BV173" s="66">
        <f t="shared" si="170"/>
        <v>50</v>
      </c>
      <c r="BW173" s="66">
        <f t="shared" ref="BW173:CE182" si="171">SUMIFS(BW$10:BW$167,$B$10:$B$167,$N173)</f>
        <v>50</v>
      </c>
      <c r="BX173" s="66">
        <f t="shared" si="171"/>
        <v>50</v>
      </c>
      <c r="BY173" s="66">
        <f t="shared" si="171"/>
        <v>50</v>
      </c>
      <c r="BZ173" s="66">
        <f t="shared" si="171"/>
        <v>50</v>
      </c>
      <c r="CA173" s="66">
        <f t="shared" si="171"/>
        <v>50</v>
      </c>
      <c r="CB173" s="66">
        <f t="shared" si="171"/>
        <v>50</v>
      </c>
      <c r="CC173" s="66">
        <f t="shared" si="171"/>
        <v>50</v>
      </c>
      <c r="CD173" s="66">
        <f t="shared" si="171"/>
        <v>0</v>
      </c>
      <c r="CE173" s="66">
        <f t="shared" si="171"/>
        <v>0</v>
      </c>
    </row>
    <row r="174" spans="1:90" x14ac:dyDescent="0.3">
      <c r="M174" s="40" t="s">
        <v>141</v>
      </c>
      <c r="N174" s="45" t="s">
        <v>14</v>
      </c>
      <c r="O174" s="66">
        <f t="shared" si="165"/>
        <v>50</v>
      </c>
      <c r="P174" s="66">
        <f t="shared" si="165"/>
        <v>30</v>
      </c>
      <c r="Q174" s="66">
        <f t="shared" si="165"/>
        <v>30</v>
      </c>
      <c r="R174" s="66">
        <f t="shared" si="165"/>
        <v>50</v>
      </c>
      <c r="S174" s="66">
        <f t="shared" si="165"/>
        <v>50</v>
      </c>
      <c r="T174" s="66">
        <f t="shared" si="165"/>
        <v>50</v>
      </c>
      <c r="U174" s="66">
        <f t="shared" si="165"/>
        <v>50</v>
      </c>
      <c r="V174" s="66">
        <f t="shared" si="165"/>
        <v>50</v>
      </c>
      <c r="W174" s="66">
        <f t="shared" si="165"/>
        <v>50</v>
      </c>
      <c r="X174" s="66">
        <f t="shared" si="165"/>
        <v>50</v>
      </c>
      <c r="Y174" s="66">
        <f t="shared" si="166"/>
        <v>50</v>
      </c>
      <c r="Z174" s="66">
        <f t="shared" si="166"/>
        <v>50</v>
      </c>
      <c r="AA174" s="66">
        <f t="shared" si="166"/>
        <v>50</v>
      </c>
      <c r="AB174" s="66">
        <f t="shared" si="166"/>
        <v>50</v>
      </c>
      <c r="AC174" s="66">
        <f t="shared" si="166"/>
        <v>50</v>
      </c>
      <c r="AD174" s="66">
        <f t="shared" si="166"/>
        <v>50</v>
      </c>
      <c r="AE174" s="66">
        <f t="shared" si="166"/>
        <v>50</v>
      </c>
      <c r="AF174" s="66">
        <f t="shared" si="166"/>
        <v>50</v>
      </c>
      <c r="AG174" s="66">
        <f t="shared" si="166"/>
        <v>50</v>
      </c>
      <c r="AH174" s="66">
        <f t="shared" si="166"/>
        <v>50</v>
      </c>
      <c r="AI174" s="66">
        <f t="shared" si="167"/>
        <v>40</v>
      </c>
      <c r="AJ174" s="66">
        <f t="shared" si="167"/>
        <v>50</v>
      </c>
      <c r="AK174" s="66">
        <f t="shared" si="167"/>
        <v>50</v>
      </c>
      <c r="AL174" s="66">
        <f t="shared" si="167"/>
        <v>50</v>
      </c>
      <c r="AM174" s="66">
        <f t="shared" si="167"/>
        <v>50</v>
      </c>
      <c r="AN174" s="66">
        <f t="shared" si="167"/>
        <v>50</v>
      </c>
      <c r="AO174" s="66">
        <f t="shared" si="167"/>
        <v>50</v>
      </c>
      <c r="AP174" s="66">
        <f t="shared" si="167"/>
        <v>50</v>
      </c>
      <c r="AQ174" s="66">
        <f t="shared" si="167"/>
        <v>50</v>
      </c>
      <c r="AR174" s="66">
        <f t="shared" si="167"/>
        <v>40</v>
      </c>
      <c r="AS174" s="66">
        <f t="shared" si="168"/>
        <v>50</v>
      </c>
      <c r="AT174" s="66">
        <f t="shared" si="168"/>
        <v>50</v>
      </c>
      <c r="AU174" s="66">
        <f t="shared" si="168"/>
        <v>50</v>
      </c>
      <c r="AV174" s="66">
        <f t="shared" si="168"/>
        <v>50</v>
      </c>
      <c r="AW174" s="66">
        <f t="shared" si="168"/>
        <v>50</v>
      </c>
      <c r="AX174" s="66">
        <f t="shared" si="168"/>
        <v>50</v>
      </c>
      <c r="AY174" s="66">
        <f t="shared" si="168"/>
        <v>50</v>
      </c>
      <c r="AZ174" s="66">
        <f t="shared" si="168"/>
        <v>50</v>
      </c>
      <c r="BA174" s="66">
        <f t="shared" si="168"/>
        <v>50</v>
      </c>
      <c r="BB174" s="66">
        <f t="shared" si="168"/>
        <v>50</v>
      </c>
      <c r="BC174" s="66">
        <f t="shared" si="169"/>
        <v>50</v>
      </c>
      <c r="BD174" s="66">
        <f t="shared" si="169"/>
        <v>50</v>
      </c>
      <c r="BE174" s="66">
        <f t="shared" si="169"/>
        <v>50</v>
      </c>
      <c r="BF174" s="66">
        <f t="shared" si="169"/>
        <v>50</v>
      </c>
      <c r="BG174" s="66">
        <f t="shared" si="169"/>
        <v>50</v>
      </c>
      <c r="BH174" s="66">
        <f t="shared" si="169"/>
        <v>50</v>
      </c>
      <c r="BI174" s="66">
        <f t="shared" si="169"/>
        <v>50</v>
      </c>
      <c r="BJ174" s="66">
        <f t="shared" si="169"/>
        <v>50</v>
      </c>
      <c r="BK174" s="66">
        <f t="shared" si="169"/>
        <v>50</v>
      </c>
      <c r="BL174" s="66">
        <f t="shared" si="169"/>
        <v>50</v>
      </c>
      <c r="BM174" s="66">
        <f t="shared" si="170"/>
        <v>30</v>
      </c>
      <c r="BN174" s="66">
        <f t="shared" si="170"/>
        <v>50</v>
      </c>
      <c r="BO174" s="66">
        <f t="shared" si="170"/>
        <v>50</v>
      </c>
      <c r="BP174" s="66">
        <f t="shared" si="170"/>
        <v>30</v>
      </c>
      <c r="BQ174" s="66">
        <f t="shared" si="170"/>
        <v>30</v>
      </c>
      <c r="BR174" s="66">
        <f t="shared" si="170"/>
        <v>50</v>
      </c>
      <c r="BS174" s="66">
        <f t="shared" si="170"/>
        <v>50</v>
      </c>
      <c r="BT174" s="66">
        <f t="shared" si="170"/>
        <v>50</v>
      </c>
      <c r="BU174" s="66">
        <f t="shared" si="170"/>
        <v>50</v>
      </c>
      <c r="BV174" s="66">
        <f t="shared" si="170"/>
        <v>50</v>
      </c>
      <c r="BW174" s="66">
        <f t="shared" si="171"/>
        <v>50</v>
      </c>
      <c r="BX174" s="66">
        <f t="shared" si="171"/>
        <v>50</v>
      </c>
      <c r="BY174" s="66">
        <f t="shared" si="171"/>
        <v>50</v>
      </c>
      <c r="BZ174" s="66">
        <f t="shared" si="171"/>
        <v>50</v>
      </c>
      <c r="CA174" s="66">
        <f t="shared" si="171"/>
        <v>50</v>
      </c>
      <c r="CB174" s="66">
        <f t="shared" si="171"/>
        <v>0</v>
      </c>
      <c r="CC174" s="66">
        <f t="shared" si="171"/>
        <v>0</v>
      </c>
      <c r="CD174" s="66">
        <f t="shared" si="171"/>
        <v>0</v>
      </c>
      <c r="CE174" s="66">
        <f t="shared" si="171"/>
        <v>0</v>
      </c>
    </row>
    <row r="175" spans="1:90" x14ac:dyDescent="0.3">
      <c r="F175" s="14" t="e">
        <f>F170/E170</f>
        <v>#VALUE!</v>
      </c>
      <c r="J175" s="14" t="e">
        <f>J170/E170</f>
        <v>#VALUE!</v>
      </c>
      <c r="M175" s="40" t="s">
        <v>141</v>
      </c>
      <c r="N175" s="45" t="s">
        <v>44</v>
      </c>
      <c r="O175" s="66">
        <f t="shared" si="165"/>
        <v>50</v>
      </c>
      <c r="P175" s="66">
        <f t="shared" si="165"/>
        <v>30</v>
      </c>
      <c r="Q175" s="66">
        <f t="shared" si="165"/>
        <v>30</v>
      </c>
      <c r="R175" s="66">
        <f t="shared" si="165"/>
        <v>50</v>
      </c>
      <c r="S175" s="66">
        <f t="shared" si="165"/>
        <v>50</v>
      </c>
      <c r="T175" s="66">
        <f t="shared" si="165"/>
        <v>50</v>
      </c>
      <c r="U175" s="66">
        <f t="shared" si="165"/>
        <v>50</v>
      </c>
      <c r="V175" s="66">
        <f t="shared" si="165"/>
        <v>50</v>
      </c>
      <c r="W175" s="66">
        <f t="shared" si="165"/>
        <v>50</v>
      </c>
      <c r="X175" s="66">
        <f t="shared" si="165"/>
        <v>50</v>
      </c>
      <c r="Y175" s="66">
        <f t="shared" si="166"/>
        <v>50</v>
      </c>
      <c r="Z175" s="66">
        <f t="shared" si="166"/>
        <v>50</v>
      </c>
      <c r="AA175" s="66">
        <f t="shared" si="166"/>
        <v>50</v>
      </c>
      <c r="AB175" s="66">
        <f t="shared" si="166"/>
        <v>50</v>
      </c>
      <c r="AC175" s="66">
        <f t="shared" si="166"/>
        <v>50</v>
      </c>
      <c r="AD175" s="66">
        <f t="shared" si="166"/>
        <v>50</v>
      </c>
      <c r="AE175" s="66">
        <f t="shared" si="166"/>
        <v>50</v>
      </c>
      <c r="AF175" s="66">
        <f t="shared" si="166"/>
        <v>50</v>
      </c>
      <c r="AG175" s="66">
        <f t="shared" si="166"/>
        <v>50</v>
      </c>
      <c r="AH175" s="66">
        <f t="shared" si="166"/>
        <v>50</v>
      </c>
      <c r="AI175" s="66">
        <f t="shared" si="167"/>
        <v>40</v>
      </c>
      <c r="AJ175" s="66">
        <f t="shared" si="167"/>
        <v>50</v>
      </c>
      <c r="AK175" s="66">
        <f t="shared" si="167"/>
        <v>50</v>
      </c>
      <c r="AL175" s="66">
        <f t="shared" si="167"/>
        <v>50</v>
      </c>
      <c r="AM175" s="66">
        <f t="shared" si="167"/>
        <v>50</v>
      </c>
      <c r="AN175" s="66">
        <f t="shared" si="167"/>
        <v>50</v>
      </c>
      <c r="AO175" s="66">
        <f t="shared" si="167"/>
        <v>50</v>
      </c>
      <c r="AP175" s="66">
        <f t="shared" si="167"/>
        <v>50</v>
      </c>
      <c r="AQ175" s="66">
        <f t="shared" si="167"/>
        <v>50</v>
      </c>
      <c r="AR175" s="66">
        <f t="shared" si="167"/>
        <v>40</v>
      </c>
      <c r="AS175" s="66">
        <f t="shared" si="168"/>
        <v>50</v>
      </c>
      <c r="AT175" s="66">
        <f t="shared" si="168"/>
        <v>50</v>
      </c>
      <c r="AU175" s="66">
        <f t="shared" si="168"/>
        <v>50</v>
      </c>
      <c r="AV175" s="66">
        <f t="shared" si="168"/>
        <v>50</v>
      </c>
      <c r="AW175" s="66">
        <f t="shared" si="168"/>
        <v>50</v>
      </c>
      <c r="AX175" s="66">
        <f t="shared" si="168"/>
        <v>50</v>
      </c>
      <c r="AY175" s="66">
        <f t="shared" si="168"/>
        <v>50</v>
      </c>
      <c r="AZ175" s="66">
        <f t="shared" si="168"/>
        <v>50</v>
      </c>
      <c r="BA175" s="66">
        <f t="shared" si="168"/>
        <v>50</v>
      </c>
      <c r="BB175" s="66">
        <f t="shared" si="168"/>
        <v>50</v>
      </c>
      <c r="BC175" s="66">
        <f t="shared" si="169"/>
        <v>50</v>
      </c>
      <c r="BD175" s="66">
        <f t="shared" si="169"/>
        <v>50</v>
      </c>
      <c r="BE175" s="66">
        <f t="shared" si="169"/>
        <v>50</v>
      </c>
      <c r="BF175" s="66">
        <f t="shared" si="169"/>
        <v>50</v>
      </c>
      <c r="BG175" s="66">
        <f t="shared" si="169"/>
        <v>50</v>
      </c>
      <c r="BH175" s="66">
        <f t="shared" si="169"/>
        <v>50</v>
      </c>
      <c r="BI175" s="66">
        <f t="shared" si="169"/>
        <v>50</v>
      </c>
      <c r="BJ175" s="66">
        <f t="shared" si="169"/>
        <v>50</v>
      </c>
      <c r="BK175" s="66">
        <f t="shared" si="169"/>
        <v>50</v>
      </c>
      <c r="BL175" s="66">
        <f t="shared" si="169"/>
        <v>50</v>
      </c>
      <c r="BM175" s="66">
        <f t="shared" si="170"/>
        <v>30</v>
      </c>
      <c r="BN175" s="66">
        <f t="shared" si="170"/>
        <v>50</v>
      </c>
      <c r="BO175" s="66">
        <f t="shared" si="170"/>
        <v>50</v>
      </c>
      <c r="BP175" s="66">
        <f t="shared" si="170"/>
        <v>30</v>
      </c>
      <c r="BQ175" s="66">
        <f t="shared" si="170"/>
        <v>30</v>
      </c>
      <c r="BR175" s="66">
        <f t="shared" si="170"/>
        <v>50</v>
      </c>
      <c r="BS175" s="66">
        <f t="shared" si="170"/>
        <v>50</v>
      </c>
      <c r="BT175" s="66">
        <f t="shared" si="170"/>
        <v>50</v>
      </c>
      <c r="BU175" s="66">
        <f t="shared" si="170"/>
        <v>50</v>
      </c>
      <c r="BV175" s="66">
        <f t="shared" si="170"/>
        <v>50</v>
      </c>
      <c r="BW175" s="66">
        <f t="shared" si="171"/>
        <v>50</v>
      </c>
      <c r="BX175" s="66">
        <f t="shared" si="171"/>
        <v>50</v>
      </c>
      <c r="BY175" s="66">
        <f t="shared" si="171"/>
        <v>50</v>
      </c>
      <c r="BZ175" s="66">
        <f t="shared" si="171"/>
        <v>50</v>
      </c>
      <c r="CA175" s="66">
        <f t="shared" si="171"/>
        <v>50</v>
      </c>
      <c r="CB175" s="66">
        <f t="shared" si="171"/>
        <v>50</v>
      </c>
      <c r="CC175" s="66">
        <f t="shared" si="171"/>
        <v>50</v>
      </c>
      <c r="CD175" s="66">
        <f t="shared" si="171"/>
        <v>0</v>
      </c>
      <c r="CE175" s="66">
        <f t="shared" si="171"/>
        <v>0</v>
      </c>
    </row>
    <row r="176" spans="1:90" x14ac:dyDescent="0.3">
      <c r="M176" s="40" t="s">
        <v>141</v>
      </c>
      <c r="N176" s="45" t="s">
        <v>45</v>
      </c>
      <c r="O176" s="66">
        <f t="shared" si="165"/>
        <v>0</v>
      </c>
      <c r="P176" s="66">
        <f t="shared" si="165"/>
        <v>0</v>
      </c>
      <c r="Q176" s="66">
        <f t="shared" si="165"/>
        <v>0</v>
      </c>
      <c r="R176" s="66">
        <f t="shared" si="165"/>
        <v>0</v>
      </c>
      <c r="S176" s="66">
        <f t="shared" si="165"/>
        <v>0</v>
      </c>
      <c r="T176" s="66">
        <f t="shared" si="165"/>
        <v>0</v>
      </c>
      <c r="U176" s="66">
        <f t="shared" si="165"/>
        <v>0</v>
      </c>
      <c r="V176" s="66">
        <f t="shared" si="165"/>
        <v>0</v>
      </c>
      <c r="W176" s="66">
        <f t="shared" si="165"/>
        <v>0</v>
      </c>
      <c r="X176" s="66">
        <f t="shared" si="165"/>
        <v>0</v>
      </c>
      <c r="Y176" s="66">
        <f t="shared" si="166"/>
        <v>0</v>
      </c>
      <c r="Z176" s="66">
        <f t="shared" si="166"/>
        <v>0</v>
      </c>
      <c r="AA176" s="66">
        <f t="shared" si="166"/>
        <v>0</v>
      </c>
      <c r="AB176" s="66">
        <f t="shared" si="166"/>
        <v>0</v>
      </c>
      <c r="AC176" s="66">
        <f t="shared" si="166"/>
        <v>0</v>
      </c>
      <c r="AD176" s="66">
        <f t="shared" si="166"/>
        <v>0</v>
      </c>
      <c r="AE176" s="66">
        <f t="shared" si="166"/>
        <v>0</v>
      </c>
      <c r="AF176" s="66">
        <f t="shared" si="166"/>
        <v>0</v>
      </c>
      <c r="AG176" s="66">
        <f t="shared" si="166"/>
        <v>0</v>
      </c>
      <c r="AH176" s="66">
        <f t="shared" si="166"/>
        <v>0</v>
      </c>
      <c r="AI176" s="66">
        <f t="shared" si="167"/>
        <v>0</v>
      </c>
      <c r="AJ176" s="66">
        <f t="shared" si="167"/>
        <v>0</v>
      </c>
      <c r="AK176" s="66">
        <f t="shared" si="167"/>
        <v>0</v>
      </c>
      <c r="AL176" s="66">
        <f t="shared" si="167"/>
        <v>0</v>
      </c>
      <c r="AM176" s="66">
        <f t="shared" si="167"/>
        <v>0</v>
      </c>
      <c r="AN176" s="66">
        <f t="shared" si="167"/>
        <v>0</v>
      </c>
      <c r="AO176" s="66">
        <f t="shared" si="167"/>
        <v>0</v>
      </c>
      <c r="AP176" s="66">
        <f t="shared" si="167"/>
        <v>0</v>
      </c>
      <c r="AQ176" s="66">
        <f t="shared" si="167"/>
        <v>0</v>
      </c>
      <c r="AR176" s="66">
        <f t="shared" si="167"/>
        <v>0</v>
      </c>
      <c r="AS176" s="66">
        <f t="shared" si="168"/>
        <v>0</v>
      </c>
      <c r="AT176" s="66">
        <f t="shared" si="168"/>
        <v>0</v>
      </c>
      <c r="AU176" s="66">
        <f t="shared" si="168"/>
        <v>0</v>
      </c>
      <c r="AV176" s="66">
        <f t="shared" si="168"/>
        <v>0</v>
      </c>
      <c r="AW176" s="66">
        <f t="shared" si="168"/>
        <v>0</v>
      </c>
      <c r="AX176" s="66">
        <f t="shared" si="168"/>
        <v>0</v>
      </c>
      <c r="AY176" s="66">
        <f t="shared" si="168"/>
        <v>0</v>
      </c>
      <c r="AZ176" s="66">
        <f t="shared" si="168"/>
        <v>0</v>
      </c>
      <c r="BA176" s="66">
        <f t="shared" si="168"/>
        <v>0</v>
      </c>
      <c r="BB176" s="66">
        <f t="shared" si="168"/>
        <v>0</v>
      </c>
      <c r="BC176" s="66">
        <f t="shared" si="169"/>
        <v>0</v>
      </c>
      <c r="BD176" s="66">
        <f t="shared" si="169"/>
        <v>0</v>
      </c>
      <c r="BE176" s="66">
        <f t="shared" si="169"/>
        <v>0</v>
      </c>
      <c r="BF176" s="66">
        <f t="shared" si="169"/>
        <v>0</v>
      </c>
      <c r="BG176" s="66">
        <f t="shared" si="169"/>
        <v>0</v>
      </c>
      <c r="BH176" s="66">
        <f t="shared" si="169"/>
        <v>0</v>
      </c>
      <c r="BI176" s="66">
        <f t="shared" si="169"/>
        <v>0</v>
      </c>
      <c r="BJ176" s="66">
        <f t="shared" si="169"/>
        <v>0</v>
      </c>
      <c r="BK176" s="66">
        <f t="shared" si="169"/>
        <v>0</v>
      </c>
      <c r="BL176" s="66">
        <f t="shared" si="169"/>
        <v>0</v>
      </c>
      <c r="BM176" s="66">
        <f t="shared" si="170"/>
        <v>0</v>
      </c>
      <c r="BN176" s="66">
        <f t="shared" si="170"/>
        <v>0</v>
      </c>
      <c r="BO176" s="66">
        <f t="shared" si="170"/>
        <v>0</v>
      </c>
      <c r="BP176" s="66">
        <f t="shared" si="170"/>
        <v>0</v>
      </c>
      <c r="BQ176" s="66">
        <f t="shared" si="170"/>
        <v>0</v>
      </c>
      <c r="BR176" s="66">
        <f t="shared" si="170"/>
        <v>0</v>
      </c>
      <c r="BS176" s="66">
        <f t="shared" si="170"/>
        <v>0</v>
      </c>
      <c r="BT176" s="66">
        <f t="shared" si="170"/>
        <v>0</v>
      </c>
      <c r="BU176" s="66">
        <f t="shared" si="170"/>
        <v>0</v>
      </c>
      <c r="BV176" s="66">
        <f t="shared" si="170"/>
        <v>0</v>
      </c>
      <c r="BW176" s="66">
        <f t="shared" si="171"/>
        <v>0</v>
      </c>
      <c r="BX176" s="66">
        <f t="shared" si="171"/>
        <v>0</v>
      </c>
      <c r="BY176" s="66">
        <f t="shared" si="171"/>
        <v>0</v>
      </c>
      <c r="BZ176" s="66">
        <f t="shared" si="171"/>
        <v>0</v>
      </c>
      <c r="CA176" s="66">
        <f t="shared" si="171"/>
        <v>0</v>
      </c>
      <c r="CB176" s="66">
        <f t="shared" si="171"/>
        <v>0</v>
      </c>
      <c r="CC176" s="66">
        <f t="shared" si="171"/>
        <v>0</v>
      </c>
      <c r="CD176" s="66">
        <f t="shared" si="171"/>
        <v>0</v>
      </c>
      <c r="CE176" s="66">
        <f t="shared" si="171"/>
        <v>0</v>
      </c>
      <c r="CK176" s="1">
        <f>SUM(O173:CE176)</f>
        <v>9590</v>
      </c>
      <c r="CL176" s="88">
        <f>CK176/$CK$194</f>
        <v>0.23755263809759722</v>
      </c>
    </row>
    <row r="177" spans="13:90" x14ac:dyDescent="0.3">
      <c r="M177" s="40" t="s">
        <v>142</v>
      </c>
      <c r="N177" s="42" t="s">
        <v>17</v>
      </c>
      <c r="O177" s="50">
        <f t="shared" si="165"/>
        <v>0</v>
      </c>
      <c r="P177" s="50">
        <f t="shared" si="165"/>
        <v>0</v>
      </c>
      <c r="Q177" s="50">
        <f t="shared" si="165"/>
        <v>0</v>
      </c>
      <c r="R177" s="50">
        <f t="shared" si="165"/>
        <v>0</v>
      </c>
      <c r="S177" s="50">
        <f t="shared" si="165"/>
        <v>50</v>
      </c>
      <c r="T177" s="50">
        <f t="shared" si="165"/>
        <v>50</v>
      </c>
      <c r="U177" s="50">
        <f t="shared" si="165"/>
        <v>50</v>
      </c>
      <c r="V177" s="50">
        <f t="shared" si="165"/>
        <v>50</v>
      </c>
      <c r="W177" s="50">
        <f t="shared" si="165"/>
        <v>50</v>
      </c>
      <c r="X177" s="50">
        <f t="shared" si="165"/>
        <v>50</v>
      </c>
      <c r="Y177" s="50">
        <f t="shared" si="166"/>
        <v>50</v>
      </c>
      <c r="Z177" s="50">
        <f t="shared" si="166"/>
        <v>50</v>
      </c>
      <c r="AA177" s="50">
        <f t="shared" si="166"/>
        <v>50</v>
      </c>
      <c r="AB177" s="50">
        <f t="shared" si="166"/>
        <v>50</v>
      </c>
      <c r="AC177" s="50">
        <f t="shared" si="166"/>
        <v>50</v>
      </c>
      <c r="AD177" s="50">
        <f t="shared" si="166"/>
        <v>50</v>
      </c>
      <c r="AE177" s="50">
        <f t="shared" si="166"/>
        <v>50</v>
      </c>
      <c r="AF177" s="50">
        <f t="shared" si="166"/>
        <v>50</v>
      </c>
      <c r="AG177" s="50">
        <f t="shared" si="166"/>
        <v>50</v>
      </c>
      <c r="AH177" s="50">
        <f t="shared" si="166"/>
        <v>50</v>
      </c>
      <c r="AI177" s="50">
        <f t="shared" si="167"/>
        <v>40</v>
      </c>
      <c r="AJ177" s="50">
        <f t="shared" si="167"/>
        <v>50</v>
      </c>
      <c r="AK177" s="50">
        <f t="shared" si="167"/>
        <v>50</v>
      </c>
      <c r="AL177" s="50">
        <f t="shared" si="167"/>
        <v>50</v>
      </c>
      <c r="AM177" s="50">
        <f t="shared" si="167"/>
        <v>50</v>
      </c>
      <c r="AN177" s="50">
        <f t="shared" si="167"/>
        <v>50</v>
      </c>
      <c r="AO177" s="50">
        <f t="shared" si="167"/>
        <v>50</v>
      </c>
      <c r="AP177" s="50">
        <f t="shared" si="167"/>
        <v>50</v>
      </c>
      <c r="AQ177" s="50">
        <f t="shared" si="167"/>
        <v>50</v>
      </c>
      <c r="AR177" s="50">
        <f t="shared" si="167"/>
        <v>40</v>
      </c>
      <c r="AS177" s="50">
        <f t="shared" si="168"/>
        <v>50</v>
      </c>
      <c r="AT177" s="50">
        <f t="shared" si="168"/>
        <v>50</v>
      </c>
      <c r="AU177" s="50">
        <f t="shared" si="168"/>
        <v>50</v>
      </c>
      <c r="AV177" s="50">
        <f t="shared" si="168"/>
        <v>0</v>
      </c>
      <c r="AW177" s="50">
        <f t="shared" si="168"/>
        <v>0</v>
      </c>
      <c r="AX177" s="50">
        <f t="shared" si="168"/>
        <v>0</v>
      </c>
      <c r="AY177" s="50">
        <f t="shared" si="168"/>
        <v>0</v>
      </c>
      <c r="AZ177" s="50">
        <f t="shared" si="168"/>
        <v>0</v>
      </c>
      <c r="BA177" s="50">
        <f t="shared" si="168"/>
        <v>0</v>
      </c>
      <c r="BB177" s="50">
        <f t="shared" si="168"/>
        <v>50</v>
      </c>
      <c r="BC177" s="50">
        <f t="shared" si="169"/>
        <v>50</v>
      </c>
      <c r="BD177" s="50">
        <f t="shared" si="169"/>
        <v>50</v>
      </c>
      <c r="BE177" s="50">
        <f t="shared" si="169"/>
        <v>50</v>
      </c>
      <c r="BF177" s="50">
        <f t="shared" si="169"/>
        <v>50</v>
      </c>
      <c r="BG177" s="50">
        <f t="shared" si="169"/>
        <v>50</v>
      </c>
      <c r="BH177" s="50">
        <f t="shared" si="169"/>
        <v>0</v>
      </c>
      <c r="BI177" s="50">
        <f t="shared" si="169"/>
        <v>0</v>
      </c>
      <c r="BJ177" s="50">
        <f t="shared" si="169"/>
        <v>0</v>
      </c>
      <c r="BK177" s="50">
        <f t="shared" si="169"/>
        <v>0</v>
      </c>
      <c r="BL177" s="50">
        <f t="shared" si="169"/>
        <v>50</v>
      </c>
      <c r="BM177" s="50">
        <f t="shared" si="170"/>
        <v>30</v>
      </c>
      <c r="BN177" s="50">
        <f t="shared" si="170"/>
        <v>50</v>
      </c>
      <c r="BO177" s="50">
        <f t="shared" si="170"/>
        <v>50</v>
      </c>
      <c r="BP177" s="50">
        <f t="shared" si="170"/>
        <v>30</v>
      </c>
      <c r="BQ177" s="50">
        <f t="shared" si="170"/>
        <v>30</v>
      </c>
      <c r="BR177" s="50">
        <f t="shared" si="170"/>
        <v>50</v>
      </c>
      <c r="BS177" s="50">
        <f t="shared" si="170"/>
        <v>0</v>
      </c>
      <c r="BT177" s="50">
        <f t="shared" si="170"/>
        <v>0</v>
      </c>
      <c r="BU177" s="50">
        <f t="shared" si="170"/>
        <v>0</v>
      </c>
      <c r="BV177" s="50">
        <f t="shared" si="170"/>
        <v>0</v>
      </c>
      <c r="BW177" s="50">
        <f t="shared" si="171"/>
        <v>50</v>
      </c>
      <c r="BX177" s="50">
        <f t="shared" si="171"/>
        <v>50</v>
      </c>
      <c r="BY177" s="50">
        <f t="shared" si="171"/>
        <v>50</v>
      </c>
      <c r="BZ177" s="50">
        <f t="shared" si="171"/>
        <v>50</v>
      </c>
      <c r="CA177" s="50">
        <f t="shared" si="171"/>
        <v>50</v>
      </c>
      <c r="CB177" s="50">
        <f t="shared" si="171"/>
        <v>50</v>
      </c>
      <c r="CC177" s="50">
        <f t="shared" si="171"/>
        <v>0</v>
      </c>
      <c r="CD177" s="50">
        <f t="shared" si="171"/>
        <v>0</v>
      </c>
      <c r="CE177" s="50">
        <f t="shared" si="171"/>
        <v>0</v>
      </c>
    </row>
    <row r="178" spans="13:90" x14ac:dyDescent="0.3">
      <c r="M178" s="40" t="s">
        <v>142</v>
      </c>
      <c r="N178" s="42" t="s">
        <v>19</v>
      </c>
      <c r="O178" s="50">
        <f t="shared" si="165"/>
        <v>0</v>
      </c>
      <c r="P178" s="50">
        <f t="shared" si="165"/>
        <v>0</v>
      </c>
      <c r="Q178" s="50">
        <f t="shared" si="165"/>
        <v>0</v>
      </c>
      <c r="R178" s="50">
        <f t="shared" si="165"/>
        <v>0</v>
      </c>
      <c r="S178" s="50">
        <f t="shared" si="165"/>
        <v>50</v>
      </c>
      <c r="T178" s="50">
        <f t="shared" si="165"/>
        <v>50</v>
      </c>
      <c r="U178" s="50">
        <f t="shared" si="165"/>
        <v>50</v>
      </c>
      <c r="V178" s="50">
        <f t="shared" si="165"/>
        <v>50</v>
      </c>
      <c r="W178" s="50">
        <f t="shared" si="165"/>
        <v>50</v>
      </c>
      <c r="X178" s="50">
        <f t="shared" si="165"/>
        <v>50</v>
      </c>
      <c r="Y178" s="50">
        <f t="shared" si="166"/>
        <v>50</v>
      </c>
      <c r="Z178" s="50">
        <f t="shared" si="166"/>
        <v>50</v>
      </c>
      <c r="AA178" s="50">
        <f t="shared" si="166"/>
        <v>50</v>
      </c>
      <c r="AB178" s="50">
        <f t="shared" si="166"/>
        <v>50</v>
      </c>
      <c r="AC178" s="50">
        <f t="shared" si="166"/>
        <v>50</v>
      </c>
      <c r="AD178" s="50">
        <f t="shared" si="166"/>
        <v>50</v>
      </c>
      <c r="AE178" s="50">
        <f t="shared" si="166"/>
        <v>50</v>
      </c>
      <c r="AF178" s="50">
        <f t="shared" si="166"/>
        <v>50</v>
      </c>
      <c r="AG178" s="50">
        <f t="shared" si="166"/>
        <v>50</v>
      </c>
      <c r="AH178" s="50">
        <f t="shared" si="166"/>
        <v>50</v>
      </c>
      <c r="AI178" s="50">
        <f t="shared" si="167"/>
        <v>40</v>
      </c>
      <c r="AJ178" s="50">
        <f t="shared" si="167"/>
        <v>50</v>
      </c>
      <c r="AK178" s="50">
        <f t="shared" si="167"/>
        <v>50</v>
      </c>
      <c r="AL178" s="50">
        <f t="shared" si="167"/>
        <v>50</v>
      </c>
      <c r="AM178" s="50">
        <f t="shared" si="167"/>
        <v>50</v>
      </c>
      <c r="AN178" s="50">
        <f t="shared" si="167"/>
        <v>50</v>
      </c>
      <c r="AO178" s="50">
        <f t="shared" si="167"/>
        <v>50</v>
      </c>
      <c r="AP178" s="50">
        <f t="shared" si="167"/>
        <v>50</v>
      </c>
      <c r="AQ178" s="50">
        <f t="shared" si="167"/>
        <v>50</v>
      </c>
      <c r="AR178" s="50">
        <f t="shared" si="167"/>
        <v>40</v>
      </c>
      <c r="AS178" s="50">
        <f t="shared" si="168"/>
        <v>50</v>
      </c>
      <c r="AT178" s="50">
        <f t="shared" si="168"/>
        <v>50</v>
      </c>
      <c r="AU178" s="50">
        <f t="shared" si="168"/>
        <v>50</v>
      </c>
      <c r="AV178" s="50">
        <f t="shared" si="168"/>
        <v>50</v>
      </c>
      <c r="AW178" s="50">
        <f t="shared" si="168"/>
        <v>50</v>
      </c>
      <c r="AX178" s="50">
        <f t="shared" si="168"/>
        <v>50</v>
      </c>
      <c r="AY178" s="50">
        <f t="shared" si="168"/>
        <v>50</v>
      </c>
      <c r="AZ178" s="50">
        <f t="shared" si="168"/>
        <v>50</v>
      </c>
      <c r="BA178" s="50">
        <f t="shared" si="168"/>
        <v>50</v>
      </c>
      <c r="BB178" s="50">
        <f t="shared" si="168"/>
        <v>0</v>
      </c>
      <c r="BC178" s="50">
        <f t="shared" si="169"/>
        <v>0</v>
      </c>
      <c r="BD178" s="50">
        <f t="shared" si="169"/>
        <v>0</v>
      </c>
      <c r="BE178" s="50">
        <f t="shared" si="169"/>
        <v>0</v>
      </c>
      <c r="BF178" s="50">
        <f t="shared" si="169"/>
        <v>0</v>
      </c>
      <c r="BG178" s="50">
        <f t="shared" si="169"/>
        <v>50</v>
      </c>
      <c r="BH178" s="50">
        <f t="shared" si="169"/>
        <v>50</v>
      </c>
      <c r="BI178" s="50">
        <f t="shared" si="169"/>
        <v>50</v>
      </c>
      <c r="BJ178" s="50">
        <f t="shared" si="169"/>
        <v>50</v>
      </c>
      <c r="BK178" s="50">
        <f t="shared" si="169"/>
        <v>50</v>
      </c>
      <c r="BL178" s="50">
        <f t="shared" si="169"/>
        <v>50</v>
      </c>
      <c r="BM178" s="50">
        <f t="shared" si="170"/>
        <v>0</v>
      </c>
      <c r="BN178" s="50">
        <f t="shared" si="170"/>
        <v>0</v>
      </c>
      <c r="BO178" s="50">
        <f t="shared" si="170"/>
        <v>0</v>
      </c>
      <c r="BP178" s="50">
        <f t="shared" si="170"/>
        <v>0</v>
      </c>
      <c r="BQ178" s="50">
        <f t="shared" si="170"/>
        <v>0</v>
      </c>
      <c r="BR178" s="50">
        <f t="shared" si="170"/>
        <v>50</v>
      </c>
      <c r="BS178" s="50">
        <f t="shared" si="170"/>
        <v>50</v>
      </c>
      <c r="BT178" s="50">
        <f t="shared" si="170"/>
        <v>50</v>
      </c>
      <c r="BU178" s="50">
        <f t="shared" si="170"/>
        <v>50</v>
      </c>
      <c r="BV178" s="50">
        <f t="shared" si="170"/>
        <v>50</v>
      </c>
      <c r="BW178" s="50">
        <f t="shared" si="171"/>
        <v>50</v>
      </c>
      <c r="BX178" s="50">
        <f t="shared" si="171"/>
        <v>0</v>
      </c>
      <c r="BY178" s="50">
        <f t="shared" si="171"/>
        <v>0</v>
      </c>
      <c r="BZ178" s="50">
        <f t="shared" si="171"/>
        <v>0</v>
      </c>
      <c r="CA178" s="50">
        <f t="shared" si="171"/>
        <v>0</v>
      </c>
      <c r="CB178" s="50">
        <f t="shared" si="171"/>
        <v>0</v>
      </c>
      <c r="CC178" s="50">
        <f t="shared" si="171"/>
        <v>0</v>
      </c>
      <c r="CD178" s="50">
        <f t="shared" si="171"/>
        <v>0</v>
      </c>
      <c r="CE178" s="50">
        <f t="shared" si="171"/>
        <v>0</v>
      </c>
    </row>
    <row r="179" spans="13:90" x14ac:dyDescent="0.3">
      <c r="M179" s="40" t="s">
        <v>142</v>
      </c>
      <c r="N179" s="42" t="s">
        <v>42</v>
      </c>
      <c r="O179" s="50">
        <f t="shared" si="165"/>
        <v>0</v>
      </c>
      <c r="P179" s="50">
        <f t="shared" si="165"/>
        <v>0</v>
      </c>
      <c r="Q179" s="50">
        <f t="shared" si="165"/>
        <v>0</v>
      </c>
      <c r="R179" s="50">
        <f t="shared" si="165"/>
        <v>0</v>
      </c>
      <c r="S179" s="50">
        <f t="shared" si="165"/>
        <v>50</v>
      </c>
      <c r="T179" s="50">
        <f t="shared" si="165"/>
        <v>50</v>
      </c>
      <c r="U179" s="50">
        <f t="shared" si="165"/>
        <v>50</v>
      </c>
      <c r="V179" s="50">
        <f t="shared" si="165"/>
        <v>50</v>
      </c>
      <c r="W179" s="50">
        <f t="shared" si="165"/>
        <v>50</v>
      </c>
      <c r="X179" s="50">
        <f t="shared" si="165"/>
        <v>50</v>
      </c>
      <c r="Y179" s="50">
        <f t="shared" si="166"/>
        <v>50</v>
      </c>
      <c r="Z179" s="50">
        <f t="shared" si="166"/>
        <v>50</v>
      </c>
      <c r="AA179" s="50">
        <f t="shared" si="166"/>
        <v>50</v>
      </c>
      <c r="AB179" s="50">
        <f t="shared" si="166"/>
        <v>50</v>
      </c>
      <c r="AC179" s="50">
        <f t="shared" si="166"/>
        <v>50</v>
      </c>
      <c r="AD179" s="50">
        <f t="shared" si="166"/>
        <v>50</v>
      </c>
      <c r="AE179" s="50">
        <f t="shared" si="166"/>
        <v>50</v>
      </c>
      <c r="AF179" s="50">
        <f t="shared" si="166"/>
        <v>50</v>
      </c>
      <c r="AG179" s="50">
        <f t="shared" si="166"/>
        <v>50</v>
      </c>
      <c r="AH179" s="50">
        <f t="shared" si="166"/>
        <v>50</v>
      </c>
      <c r="AI179" s="50">
        <f t="shared" si="167"/>
        <v>40</v>
      </c>
      <c r="AJ179" s="50">
        <f t="shared" si="167"/>
        <v>50</v>
      </c>
      <c r="AK179" s="50">
        <f t="shared" si="167"/>
        <v>50</v>
      </c>
      <c r="AL179" s="50">
        <f t="shared" si="167"/>
        <v>50</v>
      </c>
      <c r="AM179" s="50">
        <f t="shared" si="167"/>
        <v>50</v>
      </c>
      <c r="AN179" s="50">
        <f t="shared" si="167"/>
        <v>50</v>
      </c>
      <c r="AO179" s="50">
        <f t="shared" si="167"/>
        <v>50</v>
      </c>
      <c r="AP179" s="50">
        <f t="shared" si="167"/>
        <v>50</v>
      </c>
      <c r="AQ179" s="50">
        <f t="shared" si="167"/>
        <v>50</v>
      </c>
      <c r="AR179" s="50">
        <f t="shared" si="167"/>
        <v>40</v>
      </c>
      <c r="AS179" s="50">
        <f t="shared" si="168"/>
        <v>50</v>
      </c>
      <c r="AT179" s="50">
        <f t="shared" si="168"/>
        <v>50</v>
      </c>
      <c r="AU179" s="50">
        <f t="shared" si="168"/>
        <v>50</v>
      </c>
      <c r="AV179" s="50">
        <f t="shared" si="168"/>
        <v>50</v>
      </c>
      <c r="AW179" s="50">
        <f t="shared" si="168"/>
        <v>50</v>
      </c>
      <c r="AX179" s="50">
        <f t="shared" si="168"/>
        <v>50</v>
      </c>
      <c r="AY179" s="50">
        <f t="shared" si="168"/>
        <v>50</v>
      </c>
      <c r="AZ179" s="50">
        <f t="shared" si="168"/>
        <v>50</v>
      </c>
      <c r="BA179" s="50">
        <f t="shared" si="168"/>
        <v>50</v>
      </c>
      <c r="BB179" s="50">
        <f t="shared" si="168"/>
        <v>50</v>
      </c>
      <c r="BC179" s="50">
        <f t="shared" si="169"/>
        <v>50</v>
      </c>
      <c r="BD179" s="50">
        <f t="shared" si="169"/>
        <v>50</v>
      </c>
      <c r="BE179" s="50">
        <f t="shared" si="169"/>
        <v>50</v>
      </c>
      <c r="BF179" s="50">
        <f t="shared" si="169"/>
        <v>50</v>
      </c>
      <c r="BG179" s="50">
        <f t="shared" si="169"/>
        <v>50</v>
      </c>
      <c r="BH179" s="50">
        <f t="shared" si="169"/>
        <v>0</v>
      </c>
      <c r="BI179" s="50">
        <f t="shared" si="169"/>
        <v>0</v>
      </c>
      <c r="BJ179" s="50">
        <f t="shared" si="169"/>
        <v>0</v>
      </c>
      <c r="BK179" s="50">
        <f t="shared" si="169"/>
        <v>0</v>
      </c>
      <c r="BL179" s="50">
        <f t="shared" si="169"/>
        <v>50</v>
      </c>
      <c r="BM179" s="50">
        <f t="shared" si="170"/>
        <v>30</v>
      </c>
      <c r="BN179" s="50">
        <f t="shared" si="170"/>
        <v>50</v>
      </c>
      <c r="BO179" s="50">
        <f t="shared" si="170"/>
        <v>50</v>
      </c>
      <c r="BP179" s="50">
        <f t="shared" si="170"/>
        <v>30</v>
      </c>
      <c r="BQ179" s="50">
        <f t="shared" si="170"/>
        <v>30</v>
      </c>
      <c r="BR179" s="50">
        <f t="shared" si="170"/>
        <v>50</v>
      </c>
      <c r="BS179" s="50">
        <f t="shared" si="170"/>
        <v>0</v>
      </c>
      <c r="BT179" s="50">
        <f t="shared" si="170"/>
        <v>0</v>
      </c>
      <c r="BU179" s="50">
        <f t="shared" si="170"/>
        <v>0</v>
      </c>
      <c r="BV179" s="50">
        <f t="shared" si="170"/>
        <v>0</v>
      </c>
      <c r="BW179" s="50">
        <f t="shared" si="171"/>
        <v>50</v>
      </c>
      <c r="BX179" s="50">
        <f t="shared" si="171"/>
        <v>50</v>
      </c>
      <c r="BY179" s="50">
        <f t="shared" si="171"/>
        <v>50</v>
      </c>
      <c r="BZ179" s="50">
        <f t="shared" si="171"/>
        <v>50</v>
      </c>
      <c r="CA179" s="50">
        <f t="shared" si="171"/>
        <v>50</v>
      </c>
      <c r="CB179" s="50">
        <f t="shared" si="171"/>
        <v>50</v>
      </c>
      <c r="CC179" s="50">
        <f t="shared" si="171"/>
        <v>0</v>
      </c>
      <c r="CD179" s="50">
        <f t="shared" si="171"/>
        <v>0</v>
      </c>
      <c r="CE179" s="50">
        <f t="shared" si="171"/>
        <v>0</v>
      </c>
    </row>
    <row r="180" spans="13:90" x14ac:dyDescent="0.3">
      <c r="M180" s="40" t="s">
        <v>142</v>
      </c>
      <c r="N180" s="42" t="s">
        <v>21</v>
      </c>
      <c r="O180" s="50">
        <f t="shared" si="165"/>
        <v>0</v>
      </c>
      <c r="P180" s="50">
        <f t="shared" si="165"/>
        <v>0</v>
      </c>
      <c r="Q180" s="50">
        <f t="shared" si="165"/>
        <v>0</v>
      </c>
      <c r="R180" s="50">
        <f t="shared" si="165"/>
        <v>0</v>
      </c>
      <c r="S180" s="50">
        <f t="shared" si="165"/>
        <v>0</v>
      </c>
      <c r="T180" s="50">
        <f t="shared" si="165"/>
        <v>0</v>
      </c>
      <c r="U180" s="50">
        <f t="shared" si="165"/>
        <v>0</v>
      </c>
      <c r="V180" s="50">
        <f t="shared" si="165"/>
        <v>0</v>
      </c>
      <c r="W180" s="50">
        <f t="shared" si="165"/>
        <v>0</v>
      </c>
      <c r="X180" s="50">
        <f t="shared" si="165"/>
        <v>0</v>
      </c>
      <c r="Y180" s="50">
        <f t="shared" si="166"/>
        <v>0</v>
      </c>
      <c r="Z180" s="50">
        <f t="shared" si="166"/>
        <v>0</v>
      </c>
      <c r="AA180" s="50">
        <f t="shared" si="166"/>
        <v>0</v>
      </c>
      <c r="AB180" s="50">
        <f t="shared" si="166"/>
        <v>0</v>
      </c>
      <c r="AC180" s="50">
        <f t="shared" si="166"/>
        <v>0</v>
      </c>
      <c r="AD180" s="50">
        <f t="shared" si="166"/>
        <v>0</v>
      </c>
      <c r="AE180" s="50">
        <f t="shared" si="166"/>
        <v>0</v>
      </c>
      <c r="AF180" s="50">
        <f t="shared" si="166"/>
        <v>0</v>
      </c>
      <c r="AG180" s="50">
        <f t="shared" si="166"/>
        <v>0</v>
      </c>
      <c r="AH180" s="50">
        <f t="shared" si="166"/>
        <v>0</v>
      </c>
      <c r="AI180" s="50">
        <f t="shared" si="167"/>
        <v>0</v>
      </c>
      <c r="AJ180" s="50">
        <f t="shared" si="167"/>
        <v>0</v>
      </c>
      <c r="AK180" s="50">
        <f t="shared" si="167"/>
        <v>0</v>
      </c>
      <c r="AL180" s="50">
        <f t="shared" si="167"/>
        <v>0</v>
      </c>
      <c r="AM180" s="50">
        <f t="shared" si="167"/>
        <v>0</v>
      </c>
      <c r="AN180" s="50">
        <f t="shared" si="167"/>
        <v>0</v>
      </c>
      <c r="AO180" s="50">
        <f t="shared" si="167"/>
        <v>0</v>
      </c>
      <c r="AP180" s="50">
        <f t="shared" si="167"/>
        <v>0</v>
      </c>
      <c r="AQ180" s="50">
        <f t="shared" si="167"/>
        <v>0</v>
      </c>
      <c r="AR180" s="50">
        <f t="shared" si="167"/>
        <v>0</v>
      </c>
      <c r="AS180" s="50">
        <f t="shared" si="168"/>
        <v>0</v>
      </c>
      <c r="AT180" s="50">
        <f t="shared" si="168"/>
        <v>0</v>
      </c>
      <c r="AU180" s="50">
        <f t="shared" si="168"/>
        <v>50</v>
      </c>
      <c r="AV180" s="50">
        <f t="shared" si="168"/>
        <v>50</v>
      </c>
      <c r="AW180" s="50">
        <f t="shared" si="168"/>
        <v>50</v>
      </c>
      <c r="AX180" s="50">
        <f t="shared" si="168"/>
        <v>50</v>
      </c>
      <c r="AY180" s="50">
        <f t="shared" si="168"/>
        <v>50</v>
      </c>
      <c r="AZ180" s="50">
        <f t="shared" si="168"/>
        <v>50</v>
      </c>
      <c r="BA180" s="50">
        <f t="shared" si="168"/>
        <v>50</v>
      </c>
      <c r="BB180" s="50">
        <f t="shared" si="168"/>
        <v>0</v>
      </c>
      <c r="BC180" s="50">
        <f t="shared" si="169"/>
        <v>0</v>
      </c>
      <c r="BD180" s="50">
        <f t="shared" si="169"/>
        <v>0</v>
      </c>
      <c r="BE180" s="50">
        <f t="shared" si="169"/>
        <v>0</v>
      </c>
      <c r="BF180" s="50">
        <f t="shared" si="169"/>
        <v>0</v>
      </c>
      <c r="BG180" s="50">
        <f t="shared" si="169"/>
        <v>50</v>
      </c>
      <c r="BH180" s="50">
        <f t="shared" si="169"/>
        <v>50</v>
      </c>
      <c r="BI180" s="50">
        <f t="shared" si="169"/>
        <v>50</v>
      </c>
      <c r="BJ180" s="50">
        <f t="shared" si="169"/>
        <v>50</v>
      </c>
      <c r="BK180" s="50">
        <f t="shared" si="169"/>
        <v>50</v>
      </c>
      <c r="BL180" s="50">
        <f t="shared" si="169"/>
        <v>50</v>
      </c>
      <c r="BM180" s="50">
        <f t="shared" si="170"/>
        <v>0</v>
      </c>
      <c r="BN180" s="50">
        <f t="shared" si="170"/>
        <v>0</v>
      </c>
      <c r="BO180" s="50">
        <f t="shared" si="170"/>
        <v>0</v>
      </c>
      <c r="BP180" s="50">
        <f t="shared" si="170"/>
        <v>0</v>
      </c>
      <c r="BQ180" s="50">
        <f t="shared" si="170"/>
        <v>0</v>
      </c>
      <c r="BR180" s="50">
        <f t="shared" si="170"/>
        <v>50</v>
      </c>
      <c r="BS180" s="50">
        <f t="shared" si="170"/>
        <v>50</v>
      </c>
      <c r="BT180" s="50">
        <f t="shared" si="170"/>
        <v>50</v>
      </c>
      <c r="BU180" s="50">
        <f t="shared" si="170"/>
        <v>50</v>
      </c>
      <c r="BV180" s="50">
        <f t="shared" si="170"/>
        <v>50</v>
      </c>
      <c r="BW180" s="50">
        <f t="shared" si="171"/>
        <v>50</v>
      </c>
      <c r="BX180" s="50">
        <f t="shared" si="171"/>
        <v>0</v>
      </c>
      <c r="BY180" s="50">
        <f t="shared" si="171"/>
        <v>0</v>
      </c>
      <c r="BZ180" s="50">
        <f t="shared" si="171"/>
        <v>0</v>
      </c>
      <c r="CA180" s="50">
        <f t="shared" si="171"/>
        <v>0</v>
      </c>
      <c r="CB180" s="50">
        <f t="shared" si="171"/>
        <v>0</v>
      </c>
      <c r="CC180" s="50">
        <f t="shared" si="171"/>
        <v>0</v>
      </c>
      <c r="CD180" s="50">
        <f t="shared" si="171"/>
        <v>0</v>
      </c>
      <c r="CE180" s="50">
        <f t="shared" si="171"/>
        <v>0</v>
      </c>
    </row>
    <row r="181" spans="13:90" x14ac:dyDescent="0.3">
      <c r="M181" s="40" t="s">
        <v>142</v>
      </c>
      <c r="N181" s="42" t="s">
        <v>18</v>
      </c>
      <c r="O181" s="50">
        <f t="shared" si="165"/>
        <v>0</v>
      </c>
      <c r="P181" s="50">
        <f t="shared" si="165"/>
        <v>0</v>
      </c>
      <c r="Q181" s="50">
        <f t="shared" si="165"/>
        <v>0</v>
      </c>
      <c r="R181" s="50">
        <f t="shared" si="165"/>
        <v>0</v>
      </c>
      <c r="S181" s="50">
        <f t="shared" si="165"/>
        <v>0</v>
      </c>
      <c r="T181" s="50">
        <f t="shared" si="165"/>
        <v>0</v>
      </c>
      <c r="U181" s="50">
        <f t="shared" si="165"/>
        <v>0</v>
      </c>
      <c r="V181" s="50">
        <f t="shared" si="165"/>
        <v>0</v>
      </c>
      <c r="W181" s="50">
        <f t="shared" si="165"/>
        <v>0</v>
      </c>
      <c r="X181" s="50">
        <f t="shared" si="165"/>
        <v>0</v>
      </c>
      <c r="Y181" s="50">
        <f t="shared" si="166"/>
        <v>0</v>
      </c>
      <c r="Z181" s="50">
        <f t="shared" si="166"/>
        <v>50</v>
      </c>
      <c r="AA181" s="50">
        <f t="shared" si="166"/>
        <v>50</v>
      </c>
      <c r="AB181" s="50">
        <f t="shared" si="166"/>
        <v>50</v>
      </c>
      <c r="AC181" s="50">
        <f t="shared" si="166"/>
        <v>50</v>
      </c>
      <c r="AD181" s="50">
        <f t="shared" si="166"/>
        <v>50</v>
      </c>
      <c r="AE181" s="50">
        <f t="shared" si="166"/>
        <v>50</v>
      </c>
      <c r="AF181" s="50">
        <f t="shared" si="166"/>
        <v>50</v>
      </c>
      <c r="AG181" s="50">
        <f t="shared" si="166"/>
        <v>50</v>
      </c>
      <c r="AH181" s="50">
        <f t="shared" si="166"/>
        <v>50</v>
      </c>
      <c r="AI181" s="50">
        <f t="shared" si="167"/>
        <v>40</v>
      </c>
      <c r="AJ181" s="50">
        <f t="shared" si="167"/>
        <v>50</v>
      </c>
      <c r="AK181" s="50">
        <f t="shared" si="167"/>
        <v>50</v>
      </c>
      <c r="AL181" s="50">
        <f t="shared" si="167"/>
        <v>50</v>
      </c>
      <c r="AM181" s="50">
        <f t="shared" si="167"/>
        <v>50</v>
      </c>
      <c r="AN181" s="50">
        <f t="shared" si="167"/>
        <v>50</v>
      </c>
      <c r="AO181" s="50">
        <f t="shared" si="167"/>
        <v>50</v>
      </c>
      <c r="AP181" s="50">
        <f t="shared" si="167"/>
        <v>50</v>
      </c>
      <c r="AQ181" s="50">
        <f t="shared" si="167"/>
        <v>50</v>
      </c>
      <c r="AR181" s="50">
        <f t="shared" si="167"/>
        <v>40</v>
      </c>
      <c r="AS181" s="50">
        <f t="shared" si="168"/>
        <v>50</v>
      </c>
      <c r="AT181" s="50">
        <f t="shared" si="168"/>
        <v>50</v>
      </c>
      <c r="AU181" s="50">
        <f t="shared" si="168"/>
        <v>50</v>
      </c>
      <c r="AV181" s="50">
        <f t="shared" si="168"/>
        <v>50</v>
      </c>
      <c r="AW181" s="50">
        <f t="shared" si="168"/>
        <v>50</v>
      </c>
      <c r="AX181" s="50">
        <f t="shared" si="168"/>
        <v>50</v>
      </c>
      <c r="AY181" s="50">
        <f t="shared" si="168"/>
        <v>50</v>
      </c>
      <c r="AZ181" s="50">
        <f t="shared" si="168"/>
        <v>50</v>
      </c>
      <c r="BA181" s="50">
        <f t="shared" si="168"/>
        <v>50</v>
      </c>
      <c r="BB181" s="50">
        <f t="shared" si="168"/>
        <v>50</v>
      </c>
      <c r="BC181" s="50">
        <f t="shared" si="169"/>
        <v>50</v>
      </c>
      <c r="BD181" s="50">
        <f t="shared" si="169"/>
        <v>50</v>
      </c>
      <c r="BE181" s="50">
        <f t="shared" si="169"/>
        <v>50</v>
      </c>
      <c r="BF181" s="50">
        <f t="shared" si="169"/>
        <v>50</v>
      </c>
      <c r="BG181" s="50">
        <f t="shared" si="169"/>
        <v>50</v>
      </c>
      <c r="BH181" s="50">
        <f t="shared" si="169"/>
        <v>0</v>
      </c>
      <c r="BI181" s="50">
        <f t="shared" si="169"/>
        <v>0</v>
      </c>
      <c r="BJ181" s="50">
        <f t="shared" si="169"/>
        <v>0</v>
      </c>
      <c r="BK181" s="50">
        <f t="shared" si="169"/>
        <v>0</v>
      </c>
      <c r="BL181" s="50">
        <f t="shared" si="169"/>
        <v>50</v>
      </c>
      <c r="BM181" s="50">
        <f t="shared" si="170"/>
        <v>30</v>
      </c>
      <c r="BN181" s="50">
        <f t="shared" si="170"/>
        <v>50</v>
      </c>
      <c r="BO181" s="50">
        <f t="shared" si="170"/>
        <v>50</v>
      </c>
      <c r="BP181" s="50">
        <f t="shared" si="170"/>
        <v>30</v>
      </c>
      <c r="BQ181" s="50">
        <f t="shared" si="170"/>
        <v>30</v>
      </c>
      <c r="BR181" s="50">
        <f t="shared" si="170"/>
        <v>50</v>
      </c>
      <c r="BS181" s="50">
        <f t="shared" si="170"/>
        <v>0</v>
      </c>
      <c r="BT181" s="50">
        <f t="shared" si="170"/>
        <v>0</v>
      </c>
      <c r="BU181" s="50">
        <f t="shared" si="170"/>
        <v>0</v>
      </c>
      <c r="BV181" s="50">
        <f t="shared" si="170"/>
        <v>0</v>
      </c>
      <c r="BW181" s="50">
        <f t="shared" si="171"/>
        <v>50</v>
      </c>
      <c r="BX181" s="50">
        <f t="shared" si="171"/>
        <v>50</v>
      </c>
      <c r="BY181" s="50">
        <f t="shared" si="171"/>
        <v>50</v>
      </c>
      <c r="BZ181" s="50">
        <f t="shared" si="171"/>
        <v>50</v>
      </c>
      <c r="CA181" s="50">
        <f t="shared" si="171"/>
        <v>50</v>
      </c>
      <c r="CB181" s="50">
        <f t="shared" si="171"/>
        <v>50</v>
      </c>
      <c r="CC181" s="50">
        <f t="shared" si="171"/>
        <v>0</v>
      </c>
      <c r="CD181" s="50">
        <f t="shared" si="171"/>
        <v>0</v>
      </c>
      <c r="CE181" s="50">
        <f t="shared" si="171"/>
        <v>0</v>
      </c>
    </row>
    <row r="182" spans="13:90" x14ac:dyDescent="0.3">
      <c r="M182" s="40" t="s">
        <v>142</v>
      </c>
      <c r="N182" s="42" t="s">
        <v>20</v>
      </c>
      <c r="O182" s="50">
        <f t="shared" si="165"/>
        <v>0</v>
      </c>
      <c r="P182" s="50">
        <f t="shared" si="165"/>
        <v>0</v>
      </c>
      <c r="Q182" s="50">
        <f t="shared" si="165"/>
        <v>0</v>
      </c>
      <c r="R182" s="50">
        <f t="shared" si="165"/>
        <v>0</v>
      </c>
      <c r="S182" s="50">
        <f t="shared" si="165"/>
        <v>50</v>
      </c>
      <c r="T182" s="50">
        <f t="shared" si="165"/>
        <v>50</v>
      </c>
      <c r="U182" s="50">
        <f t="shared" si="165"/>
        <v>50</v>
      </c>
      <c r="V182" s="50">
        <f t="shared" si="165"/>
        <v>50</v>
      </c>
      <c r="W182" s="50">
        <f t="shared" si="165"/>
        <v>50</v>
      </c>
      <c r="X182" s="50">
        <f t="shared" si="165"/>
        <v>50</v>
      </c>
      <c r="Y182" s="50">
        <f t="shared" si="166"/>
        <v>50</v>
      </c>
      <c r="Z182" s="50">
        <f t="shared" si="166"/>
        <v>50</v>
      </c>
      <c r="AA182" s="50">
        <f t="shared" si="166"/>
        <v>50</v>
      </c>
      <c r="AB182" s="50">
        <f t="shared" si="166"/>
        <v>50</v>
      </c>
      <c r="AC182" s="50">
        <f t="shared" si="166"/>
        <v>50</v>
      </c>
      <c r="AD182" s="50">
        <f t="shared" si="166"/>
        <v>50</v>
      </c>
      <c r="AE182" s="50">
        <f t="shared" si="166"/>
        <v>50</v>
      </c>
      <c r="AF182" s="50">
        <f t="shared" si="166"/>
        <v>50</v>
      </c>
      <c r="AG182" s="50">
        <f t="shared" si="166"/>
        <v>50</v>
      </c>
      <c r="AH182" s="50">
        <f t="shared" si="166"/>
        <v>50</v>
      </c>
      <c r="AI182" s="50">
        <f t="shared" si="167"/>
        <v>40</v>
      </c>
      <c r="AJ182" s="50">
        <f t="shared" si="167"/>
        <v>50</v>
      </c>
      <c r="AK182" s="50">
        <f t="shared" si="167"/>
        <v>50</v>
      </c>
      <c r="AL182" s="50">
        <f t="shared" si="167"/>
        <v>50</v>
      </c>
      <c r="AM182" s="50">
        <f t="shared" si="167"/>
        <v>50</v>
      </c>
      <c r="AN182" s="50">
        <f t="shared" si="167"/>
        <v>50</v>
      </c>
      <c r="AO182" s="50">
        <f t="shared" si="167"/>
        <v>50</v>
      </c>
      <c r="AP182" s="50">
        <f t="shared" si="167"/>
        <v>50</v>
      </c>
      <c r="AQ182" s="50">
        <f t="shared" si="167"/>
        <v>50</v>
      </c>
      <c r="AR182" s="50">
        <f t="shared" si="167"/>
        <v>40</v>
      </c>
      <c r="AS182" s="50">
        <f t="shared" si="168"/>
        <v>50</v>
      </c>
      <c r="AT182" s="50">
        <f t="shared" si="168"/>
        <v>50</v>
      </c>
      <c r="AU182" s="50">
        <f t="shared" si="168"/>
        <v>50</v>
      </c>
      <c r="AV182" s="50">
        <f t="shared" si="168"/>
        <v>50</v>
      </c>
      <c r="AW182" s="50">
        <f t="shared" si="168"/>
        <v>50</v>
      </c>
      <c r="AX182" s="50">
        <f t="shared" si="168"/>
        <v>50</v>
      </c>
      <c r="AY182" s="50">
        <f t="shared" si="168"/>
        <v>50</v>
      </c>
      <c r="AZ182" s="50">
        <f t="shared" si="168"/>
        <v>50</v>
      </c>
      <c r="BA182" s="50">
        <f t="shared" si="168"/>
        <v>50</v>
      </c>
      <c r="BB182" s="50">
        <f t="shared" si="168"/>
        <v>0</v>
      </c>
      <c r="BC182" s="50">
        <f t="shared" si="169"/>
        <v>0</v>
      </c>
      <c r="BD182" s="50">
        <f t="shared" si="169"/>
        <v>0</v>
      </c>
      <c r="BE182" s="50">
        <f t="shared" si="169"/>
        <v>0</v>
      </c>
      <c r="BF182" s="50">
        <f t="shared" si="169"/>
        <v>0</v>
      </c>
      <c r="BG182" s="50">
        <f t="shared" si="169"/>
        <v>50</v>
      </c>
      <c r="BH182" s="50">
        <f t="shared" si="169"/>
        <v>50</v>
      </c>
      <c r="BI182" s="50">
        <f t="shared" si="169"/>
        <v>50</v>
      </c>
      <c r="BJ182" s="50">
        <f t="shared" si="169"/>
        <v>50</v>
      </c>
      <c r="BK182" s="50">
        <f t="shared" si="169"/>
        <v>50</v>
      </c>
      <c r="BL182" s="50">
        <f t="shared" si="169"/>
        <v>50</v>
      </c>
      <c r="BM182" s="50">
        <f t="shared" si="170"/>
        <v>0</v>
      </c>
      <c r="BN182" s="50">
        <f t="shared" si="170"/>
        <v>0</v>
      </c>
      <c r="BO182" s="50">
        <f t="shared" si="170"/>
        <v>0</v>
      </c>
      <c r="BP182" s="50">
        <f t="shared" si="170"/>
        <v>0</v>
      </c>
      <c r="BQ182" s="50">
        <f t="shared" si="170"/>
        <v>0</v>
      </c>
      <c r="BR182" s="50">
        <f t="shared" si="170"/>
        <v>50</v>
      </c>
      <c r="BS182" s="50">
        <f t="shared" si="170"/>
        <v>50</v>
      </c>
      <c r="BT182" s="50">
        <f t="shared" si="170"/>
        <v>50</v>
      </c>
      <c r="BU182" s="50">
        <f t="shared" si="170"/>
        <v>50</v>
      </c>
      <c r="BV182" s="50">
        <f t="shared" si="170"/>
        <v>50</v>
      </c>
      <c r="BW182" s="50">
        <f t="shared" si="171"/>
        <v>50</v>
      </c>
      <c r="BX182" s="50">
        <f t="shared" si="171"/>
        <v>0</v>
      </c>
      <c r="BY182" s="50">
        <f t="shared" si="171"/>
        <v>0</v>
      </c>
      <c r="BZ182" s="50">
        <f t="shared" si="171"/>
        <v>0</v>
      </c>
      <c r="CA182" s="50">
        <f t="shared" si="171"/>
        <v>0</v>
      </c>
      <c r="CB182" s="50">
        <f t="shared" si="171"/>
        <v>0</v>
      </c>
      <c r="CC182" s="50">
        <f t="shared" si="171"/>
        <v>0</v>
      </c>
      <c r="CD182" s="50">
        <f t="shared" si="171"/>
        <v>0</v>
      </c>
      <c r="CE182" s="50">
        <f t="shared" si="171"/>
        <v>0</v>
      </c>
    </row>
    <row r="183" spans="13:90" x14ac:dyDescent="0.3">
      <c r="M183" s="40" t="s">
        <v>142</v>
      </c>
      <c r="N183" s="42" t="s">
        <v>43</v>
      </c>
      <c r="O183" s="50">
        <f t="shared" ref="O183:X192" si="172">SUMIFS(O$10:O$167,$B$10:$B$167,$N183)</f>
        <v>0</v>
      </c>
      <c r="P183" s="50">
        <f t="shared" si="172"/>
        <v>0</v>
      </c>
      <c r="Q183" s="50">
        <f t="shared" si="172"/>
        <v>0</v>
      </c>
      <c r="R183" s="50">
        <f t="shared" si="172"/>
        <v>0</v>
      </c>
      <c r="S183" s="50">
        <f t="shared" si="172"/>
        <v>50</v>
      </c>
      <c r="T183" s="50">
        <f t="shared" si="172"/>
        <v>50</v>
      </c>
      <c r="U183" s="50">
        <f t="shared" si="172"/>
        <v>50</v>
      </c>
      <c r="V183" s="50">
        <f t="shared" si="172"/>
        <v>50</v>
      </c>
      <c r="W183" s="50">
        <f t="shared" si="172"/>
        <v>50</v>
      </c>
      <c r="X183" s="50">
        <f t="shared" si="172"/>
        <v>50</v>
      </c>
      <c r="Y183" s="50">
        <f t="shared" ref="Y183:AH192" si="173">SUMIFS(Y$10:Y$167,$B$10:$B$167,$N183)</f>
        <v>50</v>
      </c>
      <c r="Z183" s="50">
        <f t="shared" si="173"/>
        <v>50</v>
      </c>
      <c r="AA183" s="50">
        <f t="shared" si="173"/>
        <v>50</v>
      </c>
      <c r="AB183" s="50">
        <f t="shared" si="173"/>
        <v>50</v>
      </c>
      <c r="AC183" s="50">
        <f t="shared" si="173"/>
        <v>50</v>
      </c>
      <c r="AD183" s="50">
        <f t="shared" si="173"/>
        <v>50</v>
      </c>
      <c r="AE183" s="50">
        <f t="shared" si="173"/>
        <v>50</v>
      </c>
      <c r="AF183" s="50">
        <f t="shared" si="173"/>
        <v>50</v>
      </c>
      <c r="AG183" s="50">
        <f t="shared" si="173"/>
        <v>50</v>
      </c>
      <c r="AH183" s="50">
        <f t="shared" si="173"/>
        <v>50</v>
      </c>
      <c r="AI183" s="50">
        <f t="shared" ref="AI183:AR192" si="174">SUMIFS(AI$10:AI$167,$B$10:$B$167,$N183)</f>
        <v>40</v>
      </c>
      <c r="AJ183" s="50">
        <f t="shared" si="174"/>
        <v>50</v>
      </c>
      <c r="AK183" s="50">
        <f t="shared" si="174"/>
        <v>50</v>
      </c>
      <c r="AL183" s="50">
        <f t="shared" si="174"/>
        <v>50</v>
      </c>
      <c r="AM183" s="50">
        <f t="shared" si="174"/>
        <v>50</v>
      </c>
      <c r="AN183" s="50">
        <f t="shared" si="174"/>
        <v>50</v>
      </c>
      <c r="AO183" s="50">
        <f t="shared" si="174"/>
        <v>50</v>
      </c>
      <c r="AP183" s="50">
        <f t="shared" si="174"/>
        <v>50</v>
      </c>
      <c r="AQ183" s="50">
        <f t="shared" si="174"/>
        <v>50</v>
      </c>
      <c r="AR183" s="50">
        <f t="shared" si="174"/>
        <v>40</v>
      </c>
      <c r="AS183" s="50">
        <f t="shared" ref="AS183:BB192" si="175">SUMIFS(AS$10:AS$167,$B$10:$B$167,$N183)</f>
        <v>50</v>
      </c>
      <c r="AT183" s="50">
        <f t="shared" si="175"/>
        <v>50</v>
      </c>
      <c r="AU183" s="50">
        <f t="shared" si="175"/>
        <v>50</v>
      </c>
      <c r="AV183" s="50">
        <f t="shared" si="175"/>
        <v>50</v>
      </c>
      <c r="AW183" s="50">
        <f t="shared" si="175"/>
        <v>50</v>
      </c>
      <c r="AX183" s="50">
        <f t="shared" si="175"/>
        <v>50</v>
      </c>
      <c r="AY183" s="50">
        <f t="shared" si="175"/>
        <v>50</v>
      </c>
      <c r="AZ183" s="50">
        <f t="shared" si="175"/>
        <v>50</v>
      </c>
      <c r="BA183" s="50">
        <f t="shared" si="175"/>
        <v>50</v>
      </c>
      <c r="BB183" s="50">
        <f t="shared" si="175"/>
        <v>50</v>
      </c>
      <c r="BC183" s="50">
        <f t="shared" ref="BC183:BL192" si="176">SUMIFS(BC$10:BC$167,$B$10:$B$167,$N183)</f>
        <v>50</v>
      </c>
      <c r="BD183" s="50">
        <f t="shared" si="176"/>
        <v>50</v>
      </c>
      <c r="BE183" s="50">
        <f t="shared" si="176"/>
        <v>50</v>
      </c>
      <c r="BF183" s="50">
        <f t="shared" si="176"/>
        <v>50</v>
      </c>
      <c r="BG183" s="50">
        <f t="shared" si="176"/>
        <v>50</v>
      </c>
      <c r="BH183" s="50">
        <f t="shared" si="176"/>
        <v>0</v>
      </c>
      <c r="BI183" s="50">
        <f t="shared" si="176"/>
        <v>0</v>
      </c>
      <c r="BJ183" s="50">
        <f t="shared" si="176"/>
        <v>0</v>
      </c>
      <c r="BK183" s="50">
        <f t="shared" si="176"/>
        <v>0</v>
      </c>
      <c r="BL183" s="50">
        <f t="shared" si="176"/>
        <v>50</v>
      </c>
      <c r="BM183" s="50">
        <f t="shared" ref="BM183:BV192" si="177">SUMIFS(BM$10:BM$167,$B$10:$B$167,$N183)</f>
        <v>30</v>
      </c>
      <c r="BN183" s="50">
        <f t="shared" si="177"/>
        <v>50</v>
      </c>
      <c r="BO183" s="50">
        <f t="shared" si="177"/>
        <v>50</v>
      </c>
      <c r="BP183" s="50">
        <f t="shared" si="177"/>
        <v>30</v>
      </c>
      <c r="BQ183" s="50">
        <f t="shared" si="177"/>
        <v>30</v>
      </c>
      <c r="BR183" s="50">
        <f t="shared" si="177"/>
        <v>50</v>
      </c>
      <c r="BS183" s="50">
        <f t="shared" si="177"/>
        <v>0</v>
      </c>
      <c r="BT183" s="50">
        <f t="shared" si="177"/>
        <v>0</v>
      </c>
      <c r="BU183" s="50">
        <f t="shared" si="177"/>
        <v>0</v>
      </c>
      <c r="BV183" s="50">
        <f t="shared" si="177"/>
        <v>0</v>
      </c>
      <c r="BW183" s="50">
        <f t="shared" ref="BW183:CE192" si="178">SUMIFS(BW$10:BW$167,$B$10:$B$167,$N183)</f>
        <v>50</v>
      </c>
      <c r="BX183" s="50">
        <f t="shared" si="178"/>
        <v>50</v>
      </c>
      <c r="BY183" s="50">
        <f t="shared" si="178"/>
        <v>50</v>
      </c>
      <c r="BZ183" s="50">
        <f t="shared" si="178"/>
        <v>50</v>
      </c>
      <c r="CA183" s="50">
        <f t="shared" si="178"/>
        <v>50</v>
      </c>
      <c r="CB183" s="50">
        <f t="shared" si="178"/>
        <v>50</v>
      </c>
      <c r="CC183" s="50">
        <f t="shared" si="178"/>
        <v>0</v>
      </c>
      <c r="CD183" s="50">
        <f t="shared" si="178"/>
        <v>0</v>
      </c>
      <c r="CE183" s="50">
        <f t="shared" si="178"/>
        <v>0</v>
      </c>
    </row>
    <row r="184" spans="13:90" x14ac:dyDescent="0.3">
      <c r="M184" s="40" t="s">
        <v>142</v>
      </c>
      <c r="N184" s="42" t="s">
        <v>22</v>
      </c>
      <c r="O184" s="50">
        <f t="shared" si="172"/>
        <v>0</v>
      </c>
      <c r="P184" s="50">
        <f t="shared" si="172"/>
        <v>0</v>
      </c>
      <c r="Q184" s="50">
        <f t="shared" si="172"/>
        <v>0</v>
      </c>
      <c r="R184" s="50">
        <f t="shared" si="172"/>
        <v>0</v>
      </c>
      <c r="S184" s="50">
        <f t="shared" si="172"/>
        <v>0</v>
      </c>
      <c r="T184" s="50">
        <f t="shared" si="172"/>
        <v>0</v>
      </c>
      <c r="U184" s="50">
        <f t="shared" si="172"/>
        <v>0</v>
      </c>
      <c r="V184" s="50">
        <f t="shared" si="172"/>
        <v>0</v>
      </c>
      <c r="W184" s="50">
        <f t="shared" si="172"/>
        <v>0</v>
      </c>
      <c r="X184" s="50">
        <f t="shared" si="172"/>
        <v>0</v>
      </c>
      <c r="Y184" s="50">
        <f t="shared" si="173"/>
        <v>0</v>
      </c>
      <c r="Z184" s="50">
        <f t="shared" si="173"/>
        <v>0</v>
      </c>
      <c r="AA184" s="50">
        <f t="shared" si="173"/>
        <v>0</v>
      </c>
      <c r="AB184" s="50">
        <f t="shared" si="173"/>
        <v>0</v>
      </c>
      <c r="AC184" s="50">
        <f t="shared" si="173"/>
        <v>0</v>
      </c>
      <c r="AD184" s="50">
        <f t="shared" si="173"/>
        <v>0</v>
      </c>
      <c r="AE184" s="50">
        <f t="shared" si="173"/>
        <v>0</v>
      </c>
      <c r="AF184" s="50">
        <f t="shared" si="173"/>
        <v>0</v>
      </c>
      <c r="AG184" s="50">
        <f t="shared" si="173"/>
        <v>0</v>
      </c>
      <c r="AH184" s="50">
        <f t="shared" si="173"/>
        <v>0</v>
      </c>
      <c r="AI184" s="50">
        <f t="shared" si="174"/>
        <v>0</v>
      </c>
      <c r="AJ184" s="50">
        <f t="shared" si="174"/>
        <v>0</v>
      </c>
      <c r="AK184" s="50">
        <f t="shared" si="174"/>
        <v>0</v>
      </c>
      <c r="AL184" s="50">
        <f t="shared" si="174"/>
        <v>0</v>
      </c>
      <c r="AM184" s="50">
        <f t="shared" si="174"/>
        <v>0</v>
      </c>
      <c r="AN184" s="50">
        <f t="shared" si="174"/>
        <v>0</v>
      </c>
      <c r="AO184" s="50">
        <f t="shared" si="174"/>
        <v>0</v>
      </c>
      <c r="AP184" s="50">
        <f t="shared" si="174"/>
        <v>0</v>
      </c>
      <c r="AQ184" s="50">
        <f t="shared" si="174"/>
        <v>0</v>
      </c>
      <c r="AR184" s="50">
        <f t="shared" si="174"/>
        <v>0</v>
      </c>
      <c r="AS184" s="50">
        <f t="shared" si="175"/>
        <v>0</v>
      </c>
      <c r="AT184" s="50">
        <f t="shared" si="175"/>
        <v>0</v>
      </c>
      <c r="AU184" s="50">
        <f t="shared" si="175"/>
        <v>50</v>
      </c>
      <c r="AV184" s="50">
        <f t="shared" si="175"/>
        <v>50</v>
      </c>
      <c r="AW184" s="50">
        <f t="shared" si="175"/>
        <v>50</v>
      </c>
      <c r="AX184" s="50">
        <f t="shared" si="175"/>
        <v>50</v>
      </c>
      <c r="AY184" s="50">
        <f t="shared" si="175"/>
        <v>50</v>
      </c>
      <c r="AZ184" s="50">
        <f t="shared" si="175"/>
        <v>50</v>
      </c>
      <c r="BA184" s="50">
        <f t="shared" si="175"/>
        <v>50</v>
      </c>
      <c r="BB184" s="50">
        <f t="shared" si="175"/>
        <v>0</v>
      </c>
      <c r="BC184" s="50">
        <f t="shared" si="176"/>
        <v>0</v>
      </c>
      <c r="BD184" s="50">
        <f t="shared" si="176"/>
        <v>0</v>
      </c>
      <c r="BE184" s="50">
        <f t="shared" si="176"/>
        <v>0</v>
      </c>
      <c r="BF184" s="50">
        <f t="shared" si="176"/>
        <v>0</v>
      </c>
      <c r="BG184" s="50">
        <f t="shared" si="176"/>
        <v>50</v>
      </c>
      <c r="BH184" s="50">
        <f t="shared" si="176"/>
        <v>50</v>
      </c>
      <c r="BI184" s="50">
        <f t="shared" si="176"/>
        <v>50</v>
      </c>
      <c r="BJ184" s="50">
        <f t="shared" si="176"/>
        <v>50</v>
      </c>
      <c r="BK184" s="50">
        <f t="shared" si="176"/>
        <v>50</v>
      </c>
      <c r="BL184" s="50">
        <f t="shared" si="176"/>
        <v>50</v>
      </c>
      <c r="BM184" s="50">
        <f t="shared" si="177"/>
        <v>0</v>
      </c>
      <c r="BN184" s="50">
        <f t="shared" si="177"/>
        <v>0</v>
      </c>
      <c r="BO184" s="50">
        <f t="shared" si="177"/>
        <v>0</v>
      </c>
      <c r="BP184" s="50">
        <f t="shared" si="177"/>
        <v>0</v>
      </c>
      <c r="BQ184" s="50">
        <f t="shared" si="177"/>
        <v>0</v>
      </c>
      <c r="BR184" s="50">
        <f t="shared" si="177"/>
        <v>50</v>
      </c>
      <c r="BS184" s="50">
        <f t="shared" si="177"/>
        <v>50</v>
      </c>
      <c r="BT184" s="50">
        <f t="shared" si="177"/>
        <v>50</v>
      </c>
      <c r="BU184" s="50">
        <f t="shared" si="177"/>
        <v>50</v>
      </c>
      <c r="BV184" s="50">
        <f t="shared" si="177"/>
        <v>50</v>
      </c>
      <c r="BW184" s="50">
        <f t="shared" si="178"/>
        <v>50</v>
      </c>
      <c r="BX184" s="50">
        <f t="shared" si="178"/>
        <v>0</v>
      </c>
      <c r="BY184" s="50">
        <f t="shared" si="178"/>
        <v>0</v>
      </c>
      <c r="BZ184" s="50">
        <f t="shared" si="178"/>
        <v>0</v>
      </c>
      <c r="CA184" s="50">
        <f t="shared" si="178"/>
        <v>0</v>
      </c>
      <c r="CB184" s="50">
        <f t="shared" si="178"/>
        <v>0</v>
      </c>
      <c r="CC184" s="50">
        <f t="shared" si="178"/>
        <v>0</v>
      </c>
      <c r="CD184" s="50">
        <f t="shared" si="178"/>
        <v>0</v>
      </c>
      <c r="CE184" s="50">
        <f t="shared" si="178"/>
        <v>0</v>
      </c>
      <c r="CK184" s="1">
        <f>SUM(O177:CE184)</f>
        <v>16390</v>
      </c>
      <c r="CL184" s="88">
        <f>CK184/$CK$194</f>
        <v>0.40599455040871935</v>
      </c>
    </row>
    <row r="185" spans="13:90" x14ac:dyDescent="0.3">
      <c r="M185" s="40" t="s">
        <v>143</v>
      </c>
      <c r="N185" s="43" t="s">
        <v>53</v>
      </c>
      <c r="O185" s="53">
        <f t="shared" si="172"/>
        <v>0</v>
      </c>
      <c r="P185" s="53">
        <f t="shared" si="172"/>
        <v>0</v>
      </c>
      <c r="Q185" s="53">
        <f t="shared" si="172"/>
        <v>0</v>
      </c>
      <c r="R185" s="53">
        <f t="shared" si="172"/>
        <v>0</v>
      </c>
      <c r="S185" s="53">
        <f t="shared" si="172"/>
        <v>50</v>
      </c>
      <c r="T185" s="53">
        <f t="shared" si="172"/>
        <v>50</v>
      </c>
      <c r="U185" s="53">
        <f t="shared" si="172"/>
        <v>50</v>
      </c>
      <c r="V185" s="53">
        <f t="shared" si="172"/>
        <v>50</v>
      </c>
      <c r="W185" s="53">
        <f t="shared" si="172"/>
        <v>50</v>
      </c>
      <c r="X185" s="53">
        <f t="shared" si="172"/>
        <v>50</v>
      </c>
      <c r="Y185" s="53">
        <f t="shared" si="173"/>
        <v>50</v>
      </c>
      <c r="Z185" s="53">
        <f t="shared" si="173"/>
        <v>50</v>
      </c>
      <c r="AA185" s="53">
        <f t="shared" si="173"/>
        <v>50</v>
      </c>
      <c r="AB185" s="53">
        <f t="shared" si="173"/>
        <v>50</v>
      </c>
      <c r="AC185" s="53">
        <f t="shared" si="173"/>
        <v>50</v>
      </c>
      <c r="AD185" s="53">
        <f t="shared" si="173"/>
        <v>50</v>
      </c>
      <c r="AE185" s="53">
        <f t="shared" si="173"/>
        <v>50</v>
      </c>
      <c r="AF185" s="53">
        <f t="shared" si="173"/>
        <v>50</v>
      </c>
      <c r="AG185" s="53">
        <f t="shared" si="173"/>
        <v>50</v>
      </c>
      <c r="AH185" s="53">
        <f t="shared" si="173"/>
        <v>50</v>
      </c>
      <c r="AI185" s="53">
        <f t="shared" si="174"/>
        <v>40</v>
      </c>
      <c r="AJ185" s="53">
        <f t="shared" si="174"/>
        <v>50</v>
      </c>
      <c r="AK185" s="53">
        <f t="shared" si="174"/>
        <v>50</v>
      </c>
      <c r="AL185" s="53">
        <f t="shared" si="174"/>
        <v>50</v>
      </c>
      <c r="AM185" s="53">
        <f t="shared" si="174"/>
        <v>50</v>
      </c>
      <c r="AN185" s="53">
        <f t="shared" si="174"/>
        <v>50</v>
      </c>
      <c r="AO185" s="53">
        <f t="shared" si="174"/>
        <v>50</v>
      </c>
      <c r="AP185" s="53">
        <f t="shared" si="174"/>
        <v>50</v>
      </c>
      <c r="AQ185" s="53">
        <f t="shared" si="174"/>
        <v>50</v>
      </c>
      <c r="AR185" s="53">
        <f t="shared" si="174"/>
        <v>40</v>
      </c>
      <c r="AS185" s="53">
        <f t="shared" si="175"/>
        <v>50</v>
      </c>
      <c r="AT185" s="53">
        <f t="shared" si="175"/>
        <v>50</v>
      </c>
      <c r="AU185" s="53">
        <f t="shared" si="175"/>
        <v>50</v>
      </c>
      <c r="AV185" s="53">
        <f t="shared" si="175"/>
        <v>50</v>
      </c>
      <c r="AW185" s="53">
        <f t="shared" si="175"/>
        <v>50</v>
      </c>
      <c r="AX185" s="53">
        <f t="shared" si="175"/>
        <v>50</v>
      </c>
      <c r="AY185" s="53">
        <f t="shared" si="175"/>
        <v>50</v>
      </c>
      <c r="AZ185" s="53">
        <f t="shared" si="175"/>
        <v>50</v>
      </c>
      <c r="BA185" s="53">
        <f t="shared" si="175"/>
        <v>50</v>
      </c>
      <c r="BB185" s="53">
        <f t="shared" si="175"/>
        <v>0</v>
      </c>
      <c r="BC185" s="53">
        <f t="shared" si="176"/>
        <v>0</v>
      </c>
      <c r="BD185" s="53">
        <f t="shared" si="176"/>
        <v>0</v>
      </c>
      <c r="BE185" s="53">
        <f t="shared" si="176"/>
        <v>0</v>
      </c>
      <c r="BF185" s="53">
        <f t="shared" si="176"/>
        <v>0</v>
      </c>
      <c r="BG185" s="53">
        <f t="shared" si="176"/>
        <v>0</v>
      </c>
      <c r="BH185" s="53">
        <f t="shared" si="176"/>
        <v>0</v>
      </c>
      <c r="BI185" s="53">
        <f t="shared" si="176"/>
        <v>0</v>
      </c>
      <c r="BJ185" s="53">
        <f t="shared" si="176"/>
        <v>0</v>
      </c>
      <c r="BK185" s="53">
        <f t="shared" si="176"/>
        <v>0</v>
      </c>
      <c r="BL185" s="53">
        <f t="shared" si="176"/>
        <v>0</v>
      </c>
      <c r="BM185" s="53">
        <f t="shared" si="177"/>
        <v>0</v>
      </c>
      <c r="BN185" s="53">
        <f t="shared" si="177"/>
        <v>0</v>
      </c>
      <c r="BO185" s="53">
        <f t="shared" si="177"/>
        <v>0</v>
      </c>
      <c r="BP185" s="53">
        <f t="shared" si="177"/>
        <v>0</v>
      </c>
      <c r="BQ185" s="53">
        <f t="shared" si="177"/>
        <v>0</v>
      </c>
      <c r="BR185" s="53">
        <f t="shared" si="177"/>
        <v>0</v>
      </c>
      <c r="BS185" s="53">
        <f t="shared" si="177"/>
        <v>0</v>
      </c>
      <c r="BT185" s="53">
        <f t="shared" si="177"/>
        <v>0</v>
      </c>
      <c r="BU185" s="53">
        <f t="shared" si="177"/>
        <v>0</v>
      </c>
      <c r="BV185" s="53">
        <f t="shared" si="177"/>
        <v>0</v>
      </c>
      <c r="BW185" s="53">
        <f t="shared" si="178"/>
        <v>0</v>
      </c>
      <c r="BX185" s="53">
        <f t="shared" si="178"/>
        <v>0</v>
      </c>
      <c r="BY185" s="53">
        <f t="shared" si="178"/>
        <v>0</v>
      </c>
      <c r="BZ185" s="53">
        <f t="shared" si="178"/>
        <v>0</v>
      </c>
      <c r="CA185" s="53">
        <f t="shared" si="178"/>
        <v>0</v>
      </c>
      <c r="CB185" s="53">
        <f t="shared" si="178"/>
        <v>0</v>
      </c>
      <c r="CC185" s="53">
        <f t="shared" si="178"/>
        <v>0</v>
      </c>
      <c r="CD185" s="53">
        <f t="shared" si="178"/>
        <v>0</v>
      </c>
      <c r="CE185" s="53">
        <f t="shared" si="178"/>
        <v>0</v>
      </c>
    </row>
    <row r="186" spans="13:90" x14ac:dyDescent="0.3">
      <c r="M186" s="40" t="s">
        <v>143</v>
      </c>
      <c r="N186" s="43" t="s">
        <v>57</v>
      </c>
      <c r="O186" s="53">
        <f t="shared" si="172"/>
        <v>0</v>
      </c>
      <c r="P186" s="53">
        <f t="shared" si="172"/>
        <v>0</v>
      </c>
      <c r="Q186" s="53">
        <f t="shared" si="172"/>
        <v>0</v>
      </c>
      <c r="R186" s="53">
        <f t="shared" si="172"/>
        <v>0</v>
      </c>
      <c r="S186" s="53">
        <f t="shared" si="172"/>
        <v>0</v>
      </c>
      <c r="T186" s="53">
        <f t="shared" si="172"/>
        <v>0</v>
      </c>
      <c r="U186" s="53">
        <f t="shared" si="172"/>
        <v>0</v>
      </c>
      <c r="V186" s="53">
        <f t="shared" si="172"/>
        <v>0</v>
      </c>
      <c r="W186" s="53">
        <f t="shared" si="172"/>
        <v>0</v>
      </c>
      <c r="X186" s="53">
        <f t="shared" si="172"/>
        <v>0</v>
      </c>
      <c r="Y186" s="53">
        <f t="shared" si="173"/>
        <v>0</v>
      </c>
      <c r="Z186" s="53">
        <f t="shared" si="173"/>
        <v>50</v>
      </c>
      <c r="AA186" s="53">
        <f t="shared" si="173"/>
        <v>50</v>
      </c>
      <c r="AB186" s="53">
        <f t="shared" si="173"/>
        <v>50</v>
      </c>
      <c r="AC186" s="53">
        <f t="shared" si="173"/>
        <v>50</v>
      </c>
      <c r="AD186" s="53">
        <f t="shared" si="173"/>
        <v>50</v>
      </c>
      <c r="AE186" s="53">
        <f t="shared" si="173"/>
        <v>50</v>
      </c>
      <c r="AF186" s="53">
        <f t="shared" si="173"/>
        <v>50</v>
      </c>
      <c r="AG186" s="53">
        <f t="shared" si="173"/>
        <v>50</v>
      </c>
      <c r="AH186" s="53">
        <f t="shared" si="173"/>
        <v>50</v>
      </c>
      <c r="AI186" s="53">
        <f t="shared" si="174"/>
        <v>40</v>
      </c>
      <c r="AJ186" s="53">
        <f t="shared" si="174"/>
        <v>50</v>
      </c>
      <c r="AK186" s="53">
        <f t="shared" si="174"/>
        <v>50</v>
      </c>
      <c r="AL186" s="53">
        <f t="shared" si="174"/>
        <v>50</v>
      </c>
      <c r="AM186" s="53">
        <f t="shared" si="174"/>
        <v>50</v>
      </c>
      <c r="AN186" s="53">
        <f t="shared" si="174"/>
        <v>50</v>
      </c>
      <c r="AO186" s="53">
        <f t="shared" si="174"/>
        <v>50</v>
      </c>
      <c r="AP186" s="53">
        <f t="shared" si="174"/>
        <v>50</v>
      </c>
      <c r="AQ186" s="53">
        <f t="shared" si="174"/>
        <v>50</v>
      </c>
      <c r="AR186" s="53">
        <f t="shared" si="174"/>
        <v>40</v>
      </c>
      <c r="AS186" s="53">
        <f t="shared" si="175"/>
        <v>50</v>
      </c>
      <c r="AT186" s="53">
        <f t="shared" si="175"/>
        <v>50</v>
      </c>
      <c r="AU186" s="53">
        <f t="shared" si="175"/>
        <v>50</v>
      </c>
      <c r="AV186" s="53">
        <f t="shared" si="175"/>
        <v>50</v>
      </c>
      <c r="AW186" s="53">
        <f t="shared" si="175"/>
        <v>50</v>
      </c>
      <c r="AX186" s="53">
        <f t="shared" si="175"/>
        <v>50</v>
      </c>
      <c r="AY186" s="53">
        <f t="shared" si="175"/>
        <v>50</v>
      </c>
      <c r="AZ186" s="53">
        <f t="shared" si="175"/>
        <v>50</v>
      </c>
      <c r="BA186" s="53">
        <f t="shared" si="175"/>
        <v>50</v>
      </c>
      <c r="BB186" s="53">
        <f t="shared" si="175"/>
        <v>50</v>
      </c>
      <c r="BC186" s="53">
        <f t="shared" si="176"/>
        <v>50</v>
      </c>
      <c r="BD186" s="53">
        <f t="shared" si="176"/>
        <v>50</v>
      </c>
      <c r="BE186" s="53">
        <f t="shared" si="176"/>
        <v>50</v>
      </c>
      <c r="BF186" s="53">
        <f t="shared" si="176"/>
        <v>50</v>
      </c>
      <c r="BG186" s="53">
        <f t="shared" si="176"/>
        <v>50</v>
      </c>
      <c r="BH186" s="53">
        <f t="shared" si="176"/>
        <v>50</v>
      </c>
      <c r="BI186" s="53">
        <f t="shared" si="176"/>
        <v>50</v>
      </c>
      <c r="BJ186" s="53">
        <f t="shared" si="176"/>
        <v>50</v>
      </c>
      <c r="BK186" s="53">
        <f t="shared" si="176"/>
        <v>50</v>
      </c>
      <c r="BL186" s="53">
        <f t="shared" si="176"/>
        <v>50</v>
      </c>
      <c r="BM186" s="53">
        <f t="shared" si="177"/>
        <v>30</v>
      </c>
      <c r="BN186" s="53">
        <f t="shared" si="177"/>
        <v>50</v>
      </c>
      <c r="BO186" s="53">
        <f t="shared" si="177"/>
        <v>50</v>
      </c>
      <c r="BP186" s="53">
        <f t="shared" si="177"/>
        <v>0</v>
      </c>
      <c r="BQ186" s="53">
        <f t="shared" si="177"/>
        <v>0</v>
      </c>
      <c r="BR186" s="53">
        <f t="shared" si="177"/>
        <v>0</v>
      </c>
      <c r="BS186" s="53">
        <f t="shared" si="177"/>
        <v>0</v>
      </c>
      <c r="BT186" s="53">
        <f t="shared" si="177"/>
        <v>0</v>
      </c>
      <c r="BU186" s="53">
        <f t="shared" si="177"/>
        <v>0</v>
      </c>
      <c r="BV186" s="53">
        <f t="shared" si="177"/>
        <v>0</v>
      </c>
      <c r="BW186" s="53">
        <f t="shared" si="178"/>
        <v>0</v>
      </c>
      <c r="BX186" s="53">
        <f t="shared" si="178"/>
        <v>0</v>
      </c>
      <c r="BY186" s="53">
        <f t="shared" si="178"/>
        <v>0</v>
      </c>
      <c r="BZ186" s="53">
        <f t="shared" si="178"/>
        <v>0</v>
      </c>
      <c r="CA186" s="53">
        <f t="shared" si="178"/>
        <v>0</v>
      </c>
      <c r="CB186" s="53">
        <f t="shared" si="178"/>
        <v>0</v>
      </c>
      <c r="CC186" s="53">
        <f t="shared" si="178"/>
        <v>0</v>
      </c>
      <c r="CD186" s="53">
        <f t="shared" si="178"/>
        <v>0</v>
      </c>
      <c r="CE186" s="53">
        <f t="shared" si="178"/>
        <v>0</v>
      </c>
    </row>
    <row r="187" spans="13:90" x14ac:dyDescent="0.3">
      <c r="M187" s="40" t="s">
        <v>143</v>
      </c>
      <c r="N187" s="43" t="s">
        <v>54</v>
      </c>
      <c r="O187" s="53">
        <f t="shared" si="172"/>
        <v>0</v>
      </c>
      <c r="P187" s="53">
        <f t="shared" si="172"/>
        <v>0</v>
      </c>
      <c r="Q187" s="53">
        <f t="shared" si="172"/>
        <v>0</v>
      </c>
      <c r="R187" s="53">
        <f t="shared" si="172"/>
        <v>0</v>
      </c>
      <c r="S187" s="53">
        <f t="shared" si="172"/>
        <v>0</v>
      </c>
      <c r="T187" s="53">
        <f t="shared" si="172"/>
        <v>0</v>
      </c>
      <c r="U187" s="53">
        <f t="shared" si="172"/>
        <v>0</v>
      </c>
      <c r="V187" s="53">
        <f t="shared" si="172"/>
        <v>0</v>
      </c>
      <c r="W187" s="53">
        <f t="shared" si="172"/>
        <v>0</v>
      </c>
      <c r="X187" s="53">
        <f t="shared" si="172"/>
        <v>0</v>
      </c>
      <c r="Y187" s="53">
        <f t="shared" si="173"/>
        <v>0</v>
      </c>
      <c r="Z187" s="53">
        <f t="shared" si="173"/>
        <v>50</v>
      </c>
      <c r="AA187" s="53">
        <f t="shared" si="173"/>
        <v>50</v>
      </c>
      <c r="AB187" s="53">
        <f t="shared" si="173"/>
        <v>50</v>
      </c>
      <c r="AC187" s="53">
        <f t="shared" si="173"/>
        <v>50</v>
      </c>
      <c r="AD187" s="53">
        <f t="shared" si="173"/>
        <v>50</v>
      </c>
      <c r="AE187" s="53">
        <f t="shared" si="173"/>
        <v>50</v>
      </c>
      <c r="AF187" s="53">
        <f t="shared" si="173"/>
        <v>50</v>
      </c>
      <c r="AG187" s="53">
        <f t="shared" si="173"/>
        <v>50</v>
      </c>
      <c r="AH187" s="53">
        <f t="shared" si="173"/>
        <v>50</v>
      </c>
      <c r="AI187" s="53">
        <f t="shared" si="174"/>
        <v>40</v>
      </c>
      <c r="AJ187" s="53">
        <f t="shared" si="174"/>
        <v>50</v>
      </c>
      <c r="AK187" s="53">
        <f t="shared" si="174"/>
        <v>50</v>
      </c>
      <c r="AL187" s="53">
        <f t="shared" si="174"/>
        <v>50</v>
      </c>
      <c r="AM187" s="53">
        <f t="shared" si="174"/>
        <v>50</v>
      </c>
      <c r="AN187" s="53">
        <f t="shared" si="174"/>
        <v>50</v>
      </c>
      <c r="AO187" s="53">
        <f t="shared" si="174"/>
        <v>50</v>
      </c>
      <c r="AP187" s="53">
        <f t="shared" si="174"/>
        <v>50</v>
      </c>
      <c r="AQ187" s="53">
        <f t="shared" si="174"/>
        <v>50</v>
      </c>
      <c r="AR187" s="53">
        <f t="shared" si="174"/>
        <v>40</v>
      </c>
      <c r="AS187" s="53">
        <f t="shared" si="175"/>
        <v>50</v>
      </c>
      <c r="AT187" s="53">
        <f t="shared" si="175"/>
        <v>50</v>
      </c>
      <c r="AU187" s="53">
        <f t="shared" si="175"/>
        <v>50</v>
      </c>
      <c r="AV187" s="53">
        <f t="shared" si="175"/>
        <v>50</v>
      </c>
      <c r="AW187" s="53">
        <f t="shared" si="175"/>
        <v>50</v>
      </c>
      <c r="AX187" s="53">
        <f t="shared" si="175"/>
        <v>50</v>
      </c>
      <c r="AY187" s="53">
        <f t="shared" si="175"/>
        <v>50</v>
      </c>
      <c r="AZ187" s="53">
        <f t="shared" si="175"/>
        <v>50</v>
      </c>
      <c r="BA187" s="53">
        <f t="shared" si="175"/>
        <v>50</v>
      </c>
      <c r="BB187" s="53">
        <f t="shared" si="175"/>
        <v>50</v>
      </c>
      <c r="BC187" s="53">
        <f t="shared" si="176"/>
        <v>50</v>
      </c>
      <c r="BD187" s="53">
        <f t="shared" si="176"/>
        <v>50</v>
      </c>
      <c r="BE187" s="53">
        <f t="shared" si="176"/>
        <v>50</v>
      </c>
      <c r="BF187" s="53">
        <f t="shared" si="176"/>
        <v>50</v>
      </c>
      <c r="BG187" s="53">
        <f t="shared" si="176"/>
        <v>50</v>
      </c>
      <c r="BH187" s="53">
        <f t="shared" si="176"/>
        <v>50</v>
      </c>
      <c r="BI187" s="53">
        <f t="shared" si="176"/>
        <v>50</v>
      </c>
      <c r="BJ187" s="53">
        <f t="shared" si="176"/>
        <v>50</v>
      </c>
      <c r="BK187" s="53">
        <f t="shared" si="176"/>
        <v>50</v>
      </c>
      <c r="BL187" s="53">
        <f t="shared" si="176"/>
        <v>50</v>
      </c>
      <c r="BM187" s="53">
        <f t="shared" si="177"/>
        <v>30</v>
      </c>
      <c r="BN187" s="53">
        <f t="shared" si="177"/>
        <v>50</v>
      </c>
      <c r="BO187" s="53">
        <f t="shared" si="177"/>
        <v>0</v>
      </c>
      <c r="BP187" s="53">
        <f t="shared" si="177"/>
        <v>0</v>
      </c>
      <c r="BQ187" s="53">
        <f t="shared" si="177"/>
        <v>0</v>
      </c>
      <c r="BR187" s="53">
        <f t="shared" si="177"/>
        <v>0</v>
      </c>
      <c r="BS187" s="53">
        <f t="shared" si="177"/>
        <v>0</v>
      </c>
      <c r="BT187" s="53">
        <f t="shared" si="177"/>
        <v>0</v>
      </c>
      <c r="BU187" s="53">
        <f t="shared" si="177"/>
        <v>0</v>
      </c>
      <c r="BV187" s="53">
        <f t="shared" si="177"/>
        <v>0</v>
      </c>
      <c r="BW187" s="53">
        <f t="shared" si="178"/>
        <v>0</v>
      </c>
      <c r="BX187" s="53">
        <f t="shared" si="178"/>
        <v>0</v>
      </c>
      <c r="BY187" s="53">
        <f t="shared" si="178"/>
        <v>0</v>
      </c>
      <c r="BZ187" s="53">
        <f t="shared" si="178"/>
        <v>0</v>
      </c>
      <c r="CA187" s="53">
        <f t="shared" si="178"/>
        <v>0</v>
      </c>
      <c r="CB187" s="53">
        <f t="shared" si="178"/>
        <v>0</v>
      </c>
      <c r="CC187" s="53">
        <f t="shared" si="178"/>
        <v>0</v>
      </c>
      <c r="CD187" s="53">
        <f t="shared" si="178"/>
        <v>0</v>
      </c>
      <c r="CE187" s="53">
        <f t="shared" si="178"/>
        <v>0</v>
      </c>
    </row>
    <row r="188" spans="13:90" x14ac:dyDescent="0.3">
      <c r="M188" s="40" t="s">
        <v>143</v>
      </c>
      <c r="N188" s="43" t="s">
        <v>58</v>
      </c>
      <c r="O188" s="53">
        <f t="shared" si="172"/>
        <v>0</v>
      </c>
      <c r="P188" s="53">
        <f t="shared" si="172"/>
        <v>0</v>
      </c>
      <c r="Q188" s="53">
        <f t="shared" si="172"/>
        <v>0</v>
      </c>
      <c r="R188" s="53">
        <f t="shared" si="172"/>
        <v>0</v>
      </c>
      <c r="S188" s="53">
        <f t="shared" si="172"/>
        <v>0</v>
      </c>
      <c r="T188" s="53">
        <f t="shared" si="172"/>
        <v>0</v>
      </c>
      <c r="U188" s="53">
        <f t="shared" si="172"/>
        <v>0</v>
      </c>
      <c r="V188" s="53">
        <f t="shared" si="172"/>
        <v>0</v>
      </c>
      <c r="W188" s="53">
        <f t="shared" si="172"/>
        <v>0</v>
      </c>
      <c r="X188" s="53">
        <f t="shared" si="172"/>
        <v>0</v>
      </c>
      <c r="Y188" s="53">
        <f t="shared" si="173"/>
        <v>0</v>
      </c>
      <c r="Z188" s="53">
        <f t="shared" si="173"/>
        <v>50</v>
      </c>
      <c r="AA188" s="53">
        <f t="shared" si="173"/>
        <v>50</v>
      </c>
      <c r="AB188" s="53">
        <f t="shared" si="173"/>
        <v>50</v>
      </c>
      <c r="AC188" s="53">
        <f t="shared" si="173"/>
        <v>50</v>
      </c>
      <c r="AD188" s="53">
        <f t="shared" si="173"/>
        <v>50</v>
      </c>
      <c r="AE188" s="53">
        <f t="shared" si="173"/>
        <v>50</v>
      </c>
      <c r="AF188" s="53">
        <f t="shared" si="173"/>
        <v>50</v>
      </c>
      <c r="AG188" s="53">
        <f t="shared" si="173"/>
        <v>50</v>
      </c>
      <c r="AH188" s="53">
        <f t="shared" si="173"/>
        <v>50</v>
      </c>
      <c r="AI188" s="53">
        <f t="shared" si="174"/>
        <v>40</v>
      </c>
      <c r="AJ188" s="53">
        <f t="shared" si="174"/>
        <v>50</v>
      </c>
      <c r="AK188" s="53">
        <f t="shared" si="174"/>
        <v>50</v>
      </c>
      <c r="AL188" s="53">
        <f t="shared" si="174"/>
        <v>50</v>
      </c>
      <c r="AM188" s="53">
        <f t="shared" si="174"/>
        <v>50</v>
      </c>
      <c r="AN188" s="53">
        <f t="shared" si="174"/>
        <v>50</v>
      </c>
      <c r="AO188" s="53">
        <f t="shared" si="174"/>
        <v>50</v>
      </c>
      <c r="AP188" s="53">
        <f t="shared" si="174"/>
        <v>50</v>
      </c>
      <c r="AQ188" s="53">
        <f t="shared" si="174"/>
        <v>50</v>
      </c>
      <c r="AR188" s="53">
        <f t="shared" si="174"/>
        <v>40</v>
      </c>
      <c r="AS188" s="53">
        <f t="shared" si="175"/>
        <v>50</v>
      </c>
      <c r="AT188" s="53">
        <f t="shared" si="175"/>
        <v>50</v>
      </c>
      <c r="AU188" s="53">
        <f t="shared" si="175"/>
        <v>50</v>
      </c>
      <c r="AV188" s="53">
        <f t="shared" si="175"/>
        <v>50</v>
      </c>
      <c r="AW188" s="53">
        <f t="shared" si="175"/>
        <v>50</v>
      </c>
      <c r="AX188" s="53">
        <f t="shared" si="175"/>
        <v>50</v>
      </c>
      <c r="AY188" s="53">
        <f t="shared" si="175"/>
        <v>50</v>
      </c>
      <c r="AZ188" s="53">
        <f t="shared" si="175"/>
        <v>50</v>
      </c>
      <c r="BA188" s="53">
        <f t="shared" si="175"/>
        <v>50</v>
      </c>
      <c r="BB188" s="53">
        <f t="shared" si="175"/>
        <v>50</v>
      </c>
      <c r="BC188" s="53">
        <f t="shared" si="176"/>
        <v>50</v>
      </c>
      <c r="BD188" s="53">
        <f t="shared" si="176"/>
        <v>50</v>
      </c>
      <c r="BE188" s="53">
        <f t="shared" si="176"/>
        <v>50</v>
      </c>
      <c r="BF188" s="53">
        <f t="shared" si="176"/>
        <v>50</v>
      </c>
      <c r="BG188" s="53">
        <f t="shared" si="176"/>
        <v>50</v>
      </c>
      <c r="BH188" s="53">
        <f t="shared" si="176"/>
        <v>50</v>
      </c>
      <c r="BI188" s="53">
        <f t="shared" si="176"/>
        <v>50</v>
      </c>
      <c r="BJ188" s="53">
        <f t="shared" si="176"/>
        <v>50</v>
      </c>
      <c r="BK188" s="53">
        <f t="shared" si="176"/>
        <v>50</v>
      </c>
      <c r="BL188" s="53">
        <f t="shared" si="176"/>
        <v>50</v>
      </c>
      <c r="BM188" s="53">
        <f t="shared" si="177"/>
        <v>30</v>
      </c>
      <c r="BN188" s="53">
        <f t="shared" si="177"/>
        <v>0</v>
      </c>
      <c r="BO188" s="53">
        <f t="shared" si="177"/>
        <v>0</v>
      </c>
      <c r="BP188" s="53">
        <f t="shared" si="177"/>
        <v>0</v>
      </c>
      <c r="BQ188" s="53">
        <f t="shared" si="177"/>
        <v>0</v>
      </c>
      <c r="BR188" s="53">
        <f t="shared" si="177"/>
        <v>0</v>
      </c>
      <c r="BS188" s="53">
        <f t="shared" si="177"/>
        <v>0</v>
      </c>
      <c r="BT188" s="53">
        <f t="shared" si="177"/>
        <v>0</v>
      </c>
      <c r="BU188" s="53">
        <f t="shared" si="177"/>
        <v>0</v>
      </c>
      <c r="BV188" s="53">
        <f t="shared" si="177"/>
        <v>0</v>
      </c>
      <c r="BW188" s="53">
        <f t="shared" si="178"/>
        <v>0</v>
      </c>
      <c r="BX188" s="53">
        <f t="shared" si="178"/>
        <v>0</v>
      </c>
      <c r="BY188" s="53">
        <f t="shared" si="178"/>
        <v>0</v>
      </c>
      <c r="BZ188" s="53">
        <f t="shared" si="178"/>
        <v>0</v>
      </c>
      <c r="CA188" s="53">
        <f t="shared" si="178"/>
        <v>0</v>
      </c>
      <c r="CB188" s="53">
        <f t="shared" si="178"/>
        <v>0</v>
      </c>
      <c r="CC188" s="53">
        <f t="shared" si="178"/>
        <v>0</v>
      </c>
      <c r="CD188" s="53">
        <f t="shared" si="178"/>
        <v>0</v>
      </c>
      <c r="CE188" s="53">
        <f t="shared" si="178"/>
        <v>0</v>
      </c>
    </row>
    <row r="189" spans="13:90" x14ac:dyDescent="0.3">
      <c r="M189" s="40" t="s">
        <v>143</v>
      </c>
      <c r="N189" s="43" t="s">
        <v>55</v>
      </c>
      <c r="O189" s="53">
        <f t="shared" si="172"/>
        <v>0</v>
      </c>
      <c r="P189" s="53">
        <f t="shared" si="172"/>
        <v>0</v>
      </c>
      <c r="Q189" s="53">
        <f t="shared" si="172"/>
        <v>0</v>
      </c>
      <c r="R189" s="53">
        <f t="shared" si="172"/>
        <v>0</v>
      </c>
      <c r="S189" s="53">
        <f t="shared" si="172"/>
        <v>50</v>
      </c>
      <c r="T189" s="53">
        <f t="shared" si="172"/>
        <v>50</v>
      </c>
      <c r="U189" s="53">
        <f t="shared" si="172"/>
        <v>50</v>
      </c>
      <c r="V189" s="53">
        <f t="shared" si="172"/>
        <v>50</v>
      </c>
      <c r="W189" s="53">
        <f t="shared" si="172"/>
        <v>50</v>
      </c>
      <c r="X189" s="53">
        <f t="shared" si="172"/>
        <v>50</v>
      </c>
      <c r="Y189" s="53">
        <f t="shared" si="173"/>
        <v>50</v>
      </c>
      <c r="Z189" s="53">
        <f t="shared" si="173"/>
        <v>50</v>
      </c>
      <c r="AA189" s="53">
        <f t="shared" si="173"/>
        <v>50</v>
      </c>
      <c r="AB189" s="53">
        <f t="shared" si="173"/>
        <v>50</v>
      </c>
      <c r="AC189" s="53">
        <f t="shared" si="173"/>
        <v>50</v>
      </c>
      <c r="AD189" s="53">
        <f t="shared" si="173"/>
        <v>50</v>
      </c>
      <c r="AE189" s="53">
        <f t="shared" si="173"/>
        <v>50</v>
      </c>
      <c r="AF189" s="53">
        <f t="shared" si="173"/>
        <v>50</v>
      </c>
      <c r="AG189" s="53">
        <f t="shared" si="173"/>
        <v>50</v>
      </c>
      <c r="AH189" s="53">
        <f t="shared" si="173"/>
        <v>50</v>
      </c>
      <c r="AI189" s="53">
        <f t="shared" si="174"/>
        <v>40</v>
      </c>
      <c r="AJ189" s="53">
        <f t="shared" si="174"/>
        <v>50</v>
      </c>
      <c r="AK189" s="53">
        <f t="shared" si="174"/>
        <v>50</v>
      </c>
      <c r="AL189" s="53">
        <f t="shared" si="174"/>
        <v>50</v>
      </c>
      <c r="AM189" s="53">
        <f t="shared" si="174"/>
        <v>50</v>
      </c>
      <c r="AN189" s="53">
        <f t="shared" si="174"/>
        <v>50</v>
      </c>
      <c r="AO189" s="53">
        <f t="shared" si="174"/>
        <v>50</v>
      </c>
      <c r="AP189" s="53">
        <f t="shared" si="174"/>
        <v>50</v>
      </c>
      <c r="AQ189" s="53">
        <f t="shared" si="174"/>
        <v>50</v>
      </c>
      <c r="AR189" s="53">
        <f t="shared" si="174"/>
        <v>40</v>
      </c>
      <c r="AS189" s="53">
        <f t="shared" si="175"/>
        <v>50</v>
      </c>
      <c r="AT189" s="53">
        <f t="shared" si="175"/>
        <v>50</v>
      </c>
      <c r="AU189" s="53">
        <f t="shared" si="175"/>
        <v>50</v>
      </c>
      <c r="AV189" s="53">
        <f t="shared" si="175"/>
        <v>0</v>
      </c>
      <c r="AW189" s="53">
        <f t="shared" si="175"/>
        <v>0</v>
      </c>
      <c r="AX189" s="53">
        <f t="shared" si="175"/>
        <v>0</v>
      </c>
      <c r="AY189" s="53">
        <f t="shared" si="175"/>
        <v>0</v>
      </c>
      <c r="AZ189" s="53">
        <f t="shared" si="175"/>
        <v>0</v>
      </c>
      <c r="BA189" s="53">
        <f t="shared" si="175"/>
        <v>50</v>
      </c>
      <c r="BB189" s="53">
        <f t="shared" si="175"/>
        <v>50</v>
      </c>
      <c r="BC189" s="53">
        <f t="shared" si="176"/>
        <v>50</v>
      </c>
      <c r="BD189" s="53">
        <f t="shared" si="176"/>
        <v>50</v>
      </c>
      <c r="BE189" s="53">
        <f t="shared" si="176"/>
        <v>50</v>
      </c>
      <c r="BF189" s="53">
        <f t="shared" si="176"/>
        <v>50</v>
      </c>
      <c r="BG189" s="53">
        <f t="shared" si="176"/>
        <v>50</v>
      </c>
      <c r="BH189" s="53">
        <f t="shared" si="176"/>
        <v>0</v>
      </c>
      <c r="BI189" s="53">
        <f t="shared" si="176"/>
        <v>0</v>
      </c>
      <c r="BJ189" s="53">
        <f t="shared" si="176"/>
        <v>0</v>
      </c>
      <c r="BK189" s="53">
        <f t="shared" si="176"/>
        <v>0</v>
      </c>
      <c r="BL189" s="53">
        <f t="shared" si="176"/>
        <v>50</v>
      </c>
      <c r="BM189" s="53">
        <f t="shared" si="177"/>
        <v>30</v>
      </c>
      <c r="BN189" s="53">
        <f t="shared" si="177"/>
        <v>50</v>
      </c>
      <c r="BO189" s="53">
        <f t="shared" si="177"/>
        <v>50</v>
      </c>
      <c r="BP189" s="53">
        <f t="shared" si="177"/>
        <v>30</v>
      </c>
      <c r="BQ189" s="53">
        <f t="shared" si="177"/>
        <v>30</v>
      </c>
      <c r="BR189" s="53">
        <f t="shared" si="177"/>
        <v>50</v>
      </c>
      <c r="BS189" s="53">
        <f t="shared" si="177"/>
        <v>0</v>
      </c>
      <c r="BT189" s="53">
        <f t="shared" si="177"/>
        <v>0</v>
      </c>
      <c r="BU189" s="53">
        <f t="shared" si="177"/>
        <v>0</v>
      </c>
      <c r="BV189" s="53">
        <f t="shared" si="177"/>
        <v>0</v>
      </c>
      <c r="BW189" s="53">
        <f t="shared" si="178"/>
        <v>50</v>
      </c>
      <c r="BX189" s="53">
        <f t="shared" si="178"/>
        <v>50</v>
      </c>
      <c r="BY189" s="53">
        <f t="shared" si="178"/>
        <v>50</v>
      </c>
      <c r="BZ189" s="53">
        <f t="shared" si="178"/>
        <v>50</v>
      </c>
      <c r="CA189" s="53">
        <f t="shared" si="178"/>
        <v>50</v>
      </c>
      <c r="CB189" s="53">
        <f t="shared" si="178"/>
        <v>50</v>
      </c>
      <c r="CC189" s="53">
        <f t="shared" si="178"/>
        <v>0</v>
      </c>
      <c r="CD189" s="53">
        <f t="shared" si="178"/>
        <v>0</v>
      </c>
      <c r="CE189" s="53">
        <f t="shared" si="178"/>
        <v>0</v>
      </c>
    </row>
    <row r="190" spans="13:90" x14ac:dyDescent="0.3">
      <c r="M190" s="40" t="s">
        <v>143</v>
      </c>
      <c r="N190" s="43" t="s">
        <v>59</v>
      </c>
      <c r="O190" s="53">
        <f t="shared" si="172"/>
        <v>0</v>
      </c>
      <c r="P190" s="53">
        <f t="shared" si="172"/>
        <v>0</v>
      </c>
      <c r="Q190" s="53">
        <f t="shared" si="172"/>
        <v>0</v>
      </c>
      <c r="R190" s="53">
        <f t="shared" si="172"/>
        <v>0</v>
      </c>
      <c r="S190" s="53">
        <f t="shared" si="172"/>
        <v>50</v>
      </c>
      <c r="T190" s="53">
        <f t="shared" si="172"/>
        <v>50</v>
      </c>
      <c r="U190" s="53">
        <f t="shared" si="172"/>
        <v>50</v>
      </c>
      <c r="V190" s="53">
        <f t="shared" si="172"/>
        <v>50</v>
      </c>
      <c r="W190" s="53">
        <f t="shared" si="172"/>
        <v>50</v>
      </c>
      <c r="X190" s="53">
        <f t="shared" si="172"/>
        <v>50</v>
      </c>
      <c r="Y190" s="53">
        <f t="shared" si="173"/>
        <v>50</v>
      </c>
      <c r="Z190" s="53">
        <f t="shared" si="173"/>
        <v>50</v>
      </c>
      <c r="AA190" s="53">
        <f t="shared" si="173"/>
        <v>50</v>
      </c>
      <c r="AB190" s="53">
        <f t="shared" si="173"/>
        <v>50</v>
      </c>
      <c r="AC190" s="53">
        <f t="shared" si="173"/>
        <v>50</v>
      </c>
      <c r="AD190" s="53">
        <f t="shared" si="173"/>
        <v>50</v>
      </c>
      <c r="AE190" s="53">
        <f t="shared" si="173"/>
        <v>50</v>
      </c>
      <c r="AF190" s="53">
        <f t="shared" si="173"/>
        <v>50</v>
      </c>
      <c r="AG190" s="53">
        <f t="shared" si="173"/>
        <v>50</v>
      </c>
      <c r="AH190" s="53">
        <f t="shared" si="173"/>
        <v>50</v>
      </c>
      <c r="AI190" s="53">
        <f t="shared" si="174"/>
        <v>40</v>
      </c>
      <c r="AJ190" s="53">
        <f t="shared" si="174"/>
        <v>50</v>
      </c>
      <c r="AK190" s="53">
        <f t="shared" si="174"/>
        <v>50</v>
      </c>
      <c r="AL190" s="53">
        <f t="shared" si="174"/>
        <v>50</v>
      </c>
      <c r="AM190" s="53">
        <f t="shared" si="174"/>
        <v>50</v>
      </c>
      <c r="AN190" s="53">
        <f t="shared" si="174"/>
        <v>50</v>
      </c>
      <c r="AO190" s="53">
        <f t="shared" si="174"/>
        <v>50</v>
      </c>
      <c r="AP190" s="53">
        <f t="shared" si="174"/>
        <v>50</v>
      </c>
      <c r="AQ190" s="53">
        <f t="shared" si="174"/>
        <v>50</v>
      </c>
      <c r="AR190" s="53">
        <f t="shared" si="174"/>
        <v>40</v>
      </c>
      <c r="AS190" s="53">
        <f t="shared" si="175"/>
        <v>50</v>
      </c>
      <c r="AT190" s="53">
        <f t="shared" si="175"/>
        <v>50</v>
      </c>
      <c r="AU190" s="53">
        <f t="shared" si="175"/>
        <v>50</v>
      </c>
      <c r="AV190" s="53">
        <f t="shared" si="175"/>
        <v>50</v>
      </c>
      <c r="AW190" s="53">
        <f t="shared" si="175"/>
        <v>50</v>
      </c>
      <c r="AX190" s="53">
        <f t="shared" si="175"/>
        <v>50</v>
      </c>
      <c r="AY190" s="53">
        <f t="shared" si="175"/>
        <v>50</v>
      </c>
      <c r="AZ190" s="53">
        <f t="shared" si="175"/>
        <v>50</v>
      </c>
      <c r="BA190" s="53">
        <f t="shared" si="175"/>
        <v>50</v>
      </c>
      <c r="BB190" s="53">
        <f t="shared" si="175"/>
        <v>0</v>
      </c>
      <c r="BC190" s="53">
        <f t="shared" si="176"/>
        <v>0</v>
      </c>
      <c r="BD190" s="53">
        <f t="shared" si="176"/>
        <v>0</v>
      </c>
      <c r="BE190" s="53">
        <f t="shared" si="176"/>
        <v>0</v>
      </c>
      <c r="BF190" s="53">
        <f t="shared" si="176"/>
        <v>0</v>
      </c>
      <c r="BG190" s="53">
        <f t="shared" si="176"/>
        <v>50</v>
      </c>
      <c r="BH190" s="53">
        <f t="shared" si="176"/>
        <v>50</v>
      </c>
      <c r="BI190" s="53">
        <f t="shared" si="176"/>
        <v>50</v>
      </c>
      <c r="BJ190" s="53">
        <f t="shared" si="176"/>
        <v>50</v>
      </c>
      <c r="BK190" s="53">
        <f t="shared" si="176"/>
        <v>50</v>
      </c>
      <c r="BL190" s="53">
        <f t="shared" si="176"/>
        <v>50</v>
      </c>
      <c r="BM190" s="53">
        <f t="shared" si="177"/>
        <v>0</v>
      </c>
      <c r="BN190" s="53">
        <f t="shared" si="177"/>
        <v>0</v>
      </c>
      <c r="BO190" s="53">
        <f t="shared" si="177"/>
        <v>0</v>
      </c>
      <c r="BP190" s="53">
        <f t="shared" si="177"/>
        <v>0</v>
      </c>
      <c r="BQ190" s="53">
        <f t="shared" si="177"/>
        <v>0</v>
      </c>
      <c r="BR190" s="53">
        <f t="shared" si="177"/>
        <v>50</v>
      </c>
      <c r="BS190" s="53">
        <f t="shared" si="177"/>
        <v>50</v>
      </c>
      <c r="BT190" s="53">
        <f t="shared" si="177"/>
        <v>50</v>
      </c>
      <c r="BU190" s="53">
        <f t="shared" si="177"/>
        <v>50</v>
      </c>
      <c r="BV190" s="53">
        <f t="shared" si="177"/>
        <v>50</v>
      </c>
      <c r="BW190" s="53">
        <f t="shared" si="178"/>
        <v>50</v>
      </c>
      <c r="BX190" s="53">
        <f t="shared" si="178"/>
        <v>0</v>
      </c>
      <c r="BY190" s="53">
        <f t="shared" si="178"/>
        <v>0</v>
      </c>
      <c r="BZ190" s="53">
        <f t="shared" si="178"/>
        <v>0</v>
      </c>
      <c r="CA190" s="53">
        <f t="shared" si="178"/>
        <v>0</v>
      </c>
      <c r="CB190" s="53">
        <f t="shared" si="178"/>
        <v>0</v>
      </c>
      <c r="CC190" s="53">
        <f t="shared" si="178"/>
        <v>0</v>
      </c>
      <c r="CD190" s="53">
        <f t="shared" si="178"/>
        <v>0</v>
      </c>
      <c r="CE190" s="53">
        <f t="shared" si="178"/>
        <v>0</v>
      </c>
    </row>
    <row r="191" spans="13:90" x14ac:dyDescent="0.3">
      <c r="M191" s="40" t="s">
        <v>143</v>
      </c>
      <c r="N191" s="43" t="s">
        <v>56</v>
      </c>
      <c r="O191" s="53">
        <f t="shared" si="172"/>
        <v>0</v>
      </c>
      <c r="P191" s="53">
        <f t="shared" si="172"/>
        <v>0</v>
      </c>
      <c r="Q191" s="53">
        <f t="shared" si="172"/>
        <v>0</v>
      </c>
      <c r="R191" s="53">
        <f t="shared" si="172"/>
        <v>0</v>
      </c>
      <c r="S191" s="53">
        <f t="shared" si="172"/>
        <v>0</v>
      </c>
      <c r="T191" s="53">
        <f t="shared" si="172"/>
        <v>0</v>
      </c>
      <c r="U191" s="53">
        <f t="shared" si="172"/>
        <v>0</v>
      </c>
      <c r="V191" s="53">
        <f t="shared" si="172"/>
        <v>0</v>
      </c>
      <c r="W191" s="53">
        <f t="shared" si="172"/>
        <v>0</v>
      </c>
      <c r="X191" s="53">
        <f t="shared" si="172"/>
        <v>0</v>
      </c>
      <c r="Y191" s="53">
        <f t="shared" si="173"/>
        <v>0</v>
      </c>
      <c r="Z191" s="53">
        <f t="shared" si="173"/>
        <v>0</v>
      </c>
      <c r="AA191" s="53">
        <f t="shared" si="173"/>
        <v>0</v>
      </c>
      <c r="AB191" s="53">
        <f t="shared" si="173"/>
        <v>0</v>
      </c>
      <c r="AC191" s="53">
        <f t="shared" si="173"/>
        <v>0</v>
      </c>
      <c r="AD191" s="53">
        <f t="shared" si="173"/>
        <v>0</v>
      </c>
      <c r="AE191" s="53">
        <f t="shared" si="173"/>
        <v>0</v>
      </c>
      <c r="AF191" s="53">
        <f t="shared" si="173"/>
        <v>0</v>
      </c>
      <c r="AG191" s="53">
        <f t="shared" si="173"/>
        <v>0</v>
      </c>
      <c r="AH191" s="53">
        <f t="shared" si="173"/>
        <v>0</v>
      </c>
      <c r="AI191" s="53">
        <f t="shared" si="174"/>
        <v>0</v>
      </c>
      <c r="AJ191" s="53">
        <f t="shared" si="174"/>
        <v>0</v>
      </c>
      <c r="AK191" s="53">
        <f t="shared" si="174"/>
        <v>0</v>
      </c>
      <c r="AL191" s="53">
        <f t="shared" si="174"/>
        <v>0</v>
      </c>
      <c r="AM191" s="53">
        <f t="shared" si="174"/>
        <v>0</v>
      </c>
      <c r="AN191" s="53">
        <f t="shared" si="174"/>
        <v>0</v>
      </c>
      <c r="AO191" s="53">
        <f t="shared" si="174"/>
        <v>0</v>
      </c>
      <c r="AP191" s="53">
        <f t="shared" si="174"/>
        <v>0</v>
      </c>
      <c r="AQ191" s="53">
        <f t="shared" si="174"/>
        <v>0</v>
      </c>
      <c r="AR191" s="53">
        <f t="shared" si="174"/>
        <v>0</v>
      </c>
      <c r="AS191" s="53">
        <f t="shared" si="175"/>
        <v>0</v>
      </c>
      <c r="AT191" s="53">
        <f t="shared" si="175"/>
        <v>0</v>
      </c>
      <c r="AU191" s="53">
        <f t="shared" si="175"/>
        <v>0</v>
      </c>
      <c r="AV191" s="53">
        <f t="shared" si="175"/>
        <v>0</v>
      </c>
      <c r="AW191" s="53">
        <f t="shared" si="175"/>
        <v>0</v>
      </c>
      <c r="AX191" s="53">
        <f t="shared" si="175"/>
        <v>0</v>
      </c>
      <c r="AY191" s="53">
        <f t="shared" si="175"/>
        <v>0</v>
      </c>
      <c r="AZ191" s="53">
        <f t="shared" si="175"/>
        <v>0</v>
      </c>
      <c r="BA191" s="53">
        <f t="shared" si="175"/>
        <v>50</v>
      </c>
      <c r="BB191" s="53">
        <f t="shared" si="175"/>
        <v>50</v>
      </c>
      <c r="BC191" s="53">
        <f t="shared" si="176"/>
        <v>50</v>
      </c>
      <c r="BD191" s="53">
        <f t="shared" si="176"/>
        <v>50</v>
      </c>
      <c r="BE191" s="53">
        <f t="shared" si="176"/>
        <v>50</v>
      </c>
      <c r="BF191" s="53">
        <f t="shared" si="176"/>
        <v>50</v>
      </c>
      <c r="BG191" s="53">
        <f t="shared" si="176"/>
        <v>50</v>
      </c>
      <c r="BH191" s="53">
        <f t="shared" si="176"/>
        <v>0</v>
      </c>
      <c r="BI191" s="53">
        <f t="shared" si="176"/>
        <v>0</v>
      </c>
      <c r="BJ191" s="53">
        <f t="shared" si="176"/>
        <v>0</v>
      </c>
      <c r="BK191" s="53">
        <f t="shared" si="176"/>
        <v>0</v>
      </c>
      <c r="BL191" s="53">
        <f t="shared" si="176"/>
        <v>0</v>
      </c>
      <c r="BM191" s="53">
        <f t="shared" si="177"/>
        <v>30</v>
      </c>
      <c r="BN191" s="53">
        <f t="shared" si="177"/>
        <v>50</v>
      </c>
      <c r="BO191" s="53">
        <f t="shared" si="177"/>
        <v>50</v>
      </c>
      <c r="BP191" s="53">
        <f t="shared" si="177"/>
        <v>30</v>
      </c>
      <c r="BQ191" s="53">
        <f t="shared" si="177"/>
        <v>30</v>
      </c>
      <c r="BR191" s="53">
        <f t="shared" si="177"/>
        <v>50</v>
      </c>
      <c r="BS191" s="53">
        <f t="shared" si="177"/>
        <v>0</v>
      </c>
      <c r="BT191" s="53">
        <f t="shared" si="177"/>
        <v>0</v>
      </c>
      <c r="BU191" s="53">
        <f t="shared" si="177"/>
        <v>0</v>
      </c>
      <c r="BV191" s="53">
        <f t="shared" si="177"/>
        <v>0</v>
      </c>
      <c r="BW191" s="53">
        <f t="shared" si="178"/>
        <v>50</v>
      </c>
      <c r="BX191" s="53">
        <f t="shared" si="178"/>
        <v>50</v>
      </c>
      <c r="BY191" s="53">
        <f t="shared" si="178"/>
        <v>50</v>
      </c>
      <c r="BZ191" s="53">
        <f t="shared" si="178"/>
        <v>50</v>
      </c>
      <c r="CA191" s="53">
        <f t="shared" si="178"/>
        <v>0</v>
      </c>
      <c r="CB191" s="53">
        <f t="shared" si="178"/>
        <v>0</v>
      </c>
      <c r="CC191" s="53">
        <f t="shared" si="178"/>
        <v>0</v>
      </c>
      <c r="CD191" s="53">
        <f t="shared" si="178"/>
        <v>0</v>
      </c>
      <c r="CE191" s="53">
        <f t="shared" si="178"/>
        <v>0</v>
      </c>
    </row>
    <row r="192" spans="13:90" x14ac:dyDescent="0.3">
      <c r="M192" s="40" t="s">
        <v>143</v>
      </c>
      <c r="N192" s="43" t="s">
        <v>60</v>
      </c>
      <c r="O192" s="53">
        <f t="shared" si="172"/>
        <v>0</v>
      </c>
      <c r="P192" s="53">
        <f t="shared" si="172"/>
        <v>0</v>
      </c>
      <c r="Q192" s="53">
        <f t="shared" si="172"/>
        <v>0</v>
      </c>
      <c r="R192" s="53">
        <f t="shared" si="172"/>
        <v>0</v>
      </c>
      <c r="S192" s="53">
        <f t="shared" si="172"/>
        <v>0</v>
      </c>
      <c r="T192" s="53">
        <f t="shared" si="172"/>
        <v>0</v>
      </c>
      <c r="U192" s="53">
        <f t="shared" si="172"/>
        <v>0</v>
      </c>
      <c r="V192" s="53">
        <f t="shared" si="172"/>
        <v>0</v>
      </c>
      <c r="W192" s="53">
        <f t="shared" si="172"/>
        <v>0</v>
      </c>
      <c r="X192" s="53">
        <f t="shared" si="172"/>
        <v>0</v>
      </c>
      <c r="Y192" s="53">
        <f t="shared" si="173"/>
        <v>0</v>
      </c>
      <c r="Z192" s="53">
        <f t="shared" si="173"/>
        <v>0</v>
      </c>
      <c r="AA192" s="53">
        <f t="shared" si="173"/>
        <v>0</v>
      </c>
      <c r="AB192" s="53">
        <f t="shared" si="173"/>
        <v>0</v>
      </c>
      <c r="AC192" s="53">
        <f t="shared" si="173"/>
        <v>0</v>
      </c>
      <c r="AD192" s="53">
        <f t="shared" si="173"/>
        <v>0</v>
      </c>
      <c r="AE192" s="53">
        <f t="shared" si="173"/>
        <v>0</v>
      </c>
      <c r="AF192" s="53">
        <f t="shared" si="173"/>
        <v>0</v>
      </c>
      <c r="AG192" s="53">
        <f t="shared" si="173"/>
        <v>0</v>
      </c>
      <c r="AH192" s="53">
        <f t="shared" si="173"/>
        <v>0</v>
      </c>
      <c r="AI192" s="53">
        <f t="shared" si="174"/>
        <v>0</v>
      </c>
      <c r="AJ192" s="53">
        <f t="shared" si="174"/>
        <v>0</v>
      </c>
      <c r="AK192" s="53">
        <f t="shared" si="174"/>
        <v>0</v>
      </c>
      <c r="AL192" s="53">
        <f t="shared" si="174"/>
        <v>0</v>
      </c>
      <c r="AM192" s="53">
        <f t="shared" si="174"/>
        <v>0</v>
      </c>
      <c r="AN192" s="53">
        <f t="shared" si="174"/>
        <v>0</v>
      </c>
      <c r="AO192" s="53">
        <f t="shared" si="174"/>
        <v>0</v>
      </c>
      <c r="AP192" s="53">
        <f t="shared" si="174"/>
        <v>0</v>
      </c>
      <c r="AQ192" s="53">
        <f t="shared" si="174"/>
        <v>0</v>
      </c>
      <c r="AR192" s="53">
        <f t="shared" si="174"/>
        <v>0</v>
      </c>
      <c r="AS192" s="53">
        <f t="shared" si="175"/>
        <v>0</v>
      </c>
      <c r="AT192" s="53">
        <f t="shared" si="175"/>
        <v>0</v>
      </c>
      <c r="AU192" s="53">
        <f t="shared" si="175"/>
        <v>50</v>
      </c>
      <c r="AV192" s="53">
        <f t="shared" si="175"/>
        <v>50</v>
      </c>
      <c r="AW192" s="53">
        <f t="shared" si="175"/>
        <v>50</v>
      </c>
      <c r="AX192" s="53">
        <f t="shared" si="175"/>
        <v>50</v>
      </c>
      <c r="AY192" s="53">
        <f t="shared" si="175"/>
        <v>50</v>
      </c>
      <c r="AZ192" s="53">
        <f t="shared" si="175"/>
        <v>50</v>
      </c>
      <c r="BA192" s="53">
        <f t="shared" si="175"/>
        <v>50</v>
      </c>
      <c r="BB192" s="53">
        <f t="shared" si="175"/>
        <v>0</v>
      </c>
      <c r="BC192" s="53">
        <f t="shared" si="176"/>
        <v>0</v>
      </c>
      <c r="BD192" s="53">
        <f t="shared" si="176"/>
        <v>0</v>
      </c>
      <c r="BE192" s="53">
        <f t="shared" si="176"/>
        <v>0</v>
      </c>
      <c r="BF192" s="53">
        <f t="shared" si="176"/>
        <v>0</v>
      </c>
      <c r="BG192" s="53">
        <f t="shared" si="176"/>
        <v>50</v>
      </c>
      <c r="BH192" s="53">
        <f t="shared" si="176"/>
        <v>50</v>
      </c>
      <c r="BI192" s="53">
        <f t="shared" si="176"/>
        <v>50</v>
      </c>
      <c r="BJ192" s="53">
        <f t="shared" si="176"/>
        <v>50</v>
      </c>
      <c r="BK192" s="53">
        <f t="shared" si="176"/>
        <v>50</v>
      </c>
      <c r="BL192" s="53">
        <f t="shared" si="176"/>
        <v>50</v>
      </c>
      <c r="BM192" s="53">
        <f t="shared" si="177"/>
        <v>30</v>
      </c>
      <c r="BN192" s="53">
        <f t="shared" si="177"/>
        <v>50</v>
      </c>
      <c r="BO192" s="53">
        <f t="shared" si="177"/>
        <v>50</v>
      </c>
      <c r="BP192" s="53">
        <f t="shared" si="177"/>
        <v>30</v>
      </c>
      <c r="BQ192" s="53">
        <f t="shared" si="177"/>
        <v>30</v>
      </c>
      <c r="BR192" s="53">
        <f t="shared" si="177"/>
        <v>50</v>
      </c>
      <c r="BS192" s="53">
        <f t="shared" si="177"/>
        <v>50</v>
      </c>
      <c r="BT192" s="53">
        <f t="shared" si="177"/>
        <v>50</v>
      </c>
      <c r="BU192" s="53">
        <f t="shared" si="177"/>
        <v>50</v>
      </c>
      <c r="BV192" s="53">
        <f t="shared" si="177"/>
        <v>50</v>
      </c>
      <c r="BW192" s="53">
        <f t="shared" si="178"/>
        <v>50</v>
      </c>
      <c r="BX192" s="53">
        <f t="shared" si="178"/>
        <v>0</v>
      </c>
      <c r="BY192" s="53">
        <f t="shared" si="178"/>
        <v>0</v>
      </c>
      <c r="BZ192" s="53">
        <f t="shared" si="178"/>
        <v>0</v>
      </c>
      <c r="CA192" s="53">
        <f t="shared" si="178"/>
        <v>0</v>
      </c>
      <c r="CB192" s="53">
        <f t="shared" si="178"/>
        <v>0</v>
      </c>
      <c r="CC192" s="53">
        <f t="shared" si="178"/>
        <v>0</v>
      </c>
      <c r="CD192" s="53">
        <f t="shared" si="178"/>
        <v>0</v>
      </c>
      <c r="CE192" s="53">
        <f t="shared" si="178"/>
        <v>0</v>
      </c>
      <c r="CK192" s="1">
        <f>SUM(O185:CE192)</f>
        <v>14390</v>
      </c>
      <c r="CL192" s="88">
        <f>CK192/$CK$194</f>
        <v>0.35645281149368341</v>
      </c>
    </row>
    <row r="193" spans="14:90" x14ac:dyDescent="0.3"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</row>
    <row r="194" spans="14:90" x14ac:dyDescent="0.3">
      <c r="N194" s="40" t="s">
        <v>140</v>
      </c>
      <c r="O194" s="16">
        <f>SUM(O173:O192)</f>
        <v>150</v>
      </c>
      <c r="P194" s="16">
        <f t="shared" ref="P194:CA194" si="179">SUM(P173:P192)</f>
        <v>90</v>
      </c>
      <c r="Q194" s="16">
        <f t="shared" si="179"/>
        <v>90</v>
      </c>
      <c r="R194" s="16">
        <f t="shared" si="179"/>
        <v>150</v>
      </c>
      <c r="S194" s="16">
        <f t="shared" si="179"/>
        <v>550</v>
      </c>
      <c r="T194" s="16">
        <f t="shared" si="179"/>
        <v>550</v>
      </c>
      <c r="U194" s="16">
        <f t="shared" si="179"/>
        <v>550</v>
      </c>
      <c r="V194" s="16">
        <f t="shared" si="179"/>
        <v>550</v>
      </c>
      <c r="W194" s="16">
        <f t="shared" si="179"/>
        <v>550</v>
      </c>
      <c r="X194" s="16">
        <f t="shared" si="179"/>
        <v>550</v>
      </c>
      <c r="Y194" s="16">
        <f t="shared" si="179"/>
        <v>550</v>
      </c>
      <c r="Z194" s="16">
        <f t="shared" si="179"/>
        <v>750</v>
      </c>
      <c r="AA194" s="16">
        <f t="shared" si="179"/>
        <v>750</v>
      </c>
      <c r="AB194" s="16">
        <f t="shared" si="179"/>
        <v>750</v>
      </c>
      <c r="AC194" s="16">
        <f t="shared" si="179"/>
        <v>750</v>
      </c>
      <c r="AD194" s="16">
        <f t="shared" si="179"/>
        <v>750</v>
      </c>
      <c r="AE194" s="16">
        <f t="shared" si="179"/>
        <v>750</v>
      </c>
      <c r="AF194" s="16">
        <f t="shared" si="179"/>
        <v>750</v>
      </c>
      <c r="AG194" s="16">
        <f t="shared" si="179"/>
        <v>750</v>
      </c>
      <c r="AH194" s="16">
        <f t="shared" si="179"/>
        <v>750</v>
      </c>
      <c r="AI194" s="16">
        <f t="shared" si="179"/>
        <v>600</v>
      </c>
      <c r="AJ194" s="16">
        <f t="shared" si="179"/>
        <v>750</v>
      </c>
      <c r="AK194" s="16">
        <f t="shared" si="179"/>
        <v>750</v>
      </c>
      <c r="AL194" s="16">
        <f t="shared" si="179"/>
        <v>750</v>
      </c>
      <c r="AM194" s="16">
        <f t="shared" si="179"/>
        <v>750</v>
      </c>
      <c r="AN194" s="16">
        <f t="shared" si="179"/>
        <v>750</v>
      </c>
      <c r="AO194" s="16">
        <f t="shared" si="179"/>
        <v>750</v>
      </c>
      <c r="AP194" s="16">
        <f t="shared" si="179"/>
        <v>750</v>
      </c>
      <c r="AQ194" s="16">
        <f t="shared" si="179"/>
        <v>750</v>
      </c>
      <c r="AR194" s="16">
        <f t="shared" si="179"/>
        <v>600</v>
      </c>
      <c r="AS194" s="16">
        <f t="shared" si="179"/>
        <v>750</v>
      </c>
      <c r="AT194" s="16">
        <f t="shared" si="179"/>
        <v>750</v>
      </c>
      <c r="AU194" s="16">
        <f t="shared" si="179"/>
        <v>900</v>
      </c>
      <c r="AV194" s="16">
        <f t="shared" si="179"/>
        <v>800</v>
      </c>
      <c r="AW194" s="16">
        <f t="shared" si="179"/>
        <v>800</v>
      </c>
      <c r="AX194" s="16">
        <f t="shared" si="179"/>
        <v>800</v>
      </c>
      <c r="AY194" s="16">
        <f t="shared" si="179"/>
        <v>800</v>
      </c>
      <c r="AZ194" s="16">
        <f t="shared" si="179"/>
        <v>800</v>
      </c>
      <c r="BA194" s="16">
        <f t="shared" si="179"/>
        <v>900</v>
      </c>
      <c r="BB194" s="16">
        <f t="shared" si="179"/>
        <v>600</v>
      </c>
      <c r="BC194" s="16">
        <f t="shared" si="179"/>
        <v>600</v>
      </c>
      <c r="BD194" s="16">
        <f t="shared" si="179"/>
        <v>600</v>
      </c>
      <c r="BE194" s="16">
        <f t="shared" si="179"/>
        <v>600</v>
      </c>
      <c r="BF194" s="16">
        <f t="shared" si="179"/>
        <v>600</v>
      </c>
      <c r="BG194" s="16">
        <f t="shared" si="179"/>
        <v>900</v>
      </c>
      <c r="BH194" s="16">
        <f t="shared" si="179"/>
        <v>600</v>
      </c>
      <c r="BI194" s="16">
        <f t="shared" si="179"/>
        <v>600</v>
      </c>
      <c r="BJ194" s="16">
        <f t="shared" si="179"/>
        <v>600</v>
      </c>
      <c r="BK194" s="16">
        <f t="shared" si="179"/>
        <v>600</v>
      </c>
      <c r="BL194" s="16">
        <f t="shared" si="179"/>
        <v>850</v>
      </c>
      <c r="BM194" s="16">
        <f t="shared" si="179"/>
        <v>390</v>
      </c>
      <c r="BN194" s="16">
        <f t="shared" si="179"/>
        <v>600</v>
      </c>
      <c r="BO194" s="16">
        <f t="shared" si="179"/>
        <v>550</v>
      </c>
      <c r="BP194" s="16">
        <f t="shared" si="179"/>
        <v>300</v>
      </c>
      <c r="BQ194" s="16">
        <f t="shared" si="179"/>
        <v>300</v>
      </c>
      <c r="BR194" s="16">
        <f t="shared" si="179"/>
        <v>750</v>
      </c>
      <c r="BS194" s="16">
        <f t="shared" si="179"/>
        <v>450</v>
      </c>
      <c r="BT194" s="16">
        <f t="shared" si="179"/>
        <v>450</v>
      </c>
      <c r="BU194" s="16">
        <f t="shared" si="179"/>
        <v>450</v>
      </c>
      <c r="BV194" s="16">
        <f t="shared" si="179"/>
        <v>450</v>
      </c>
      <c r="BW194" s="16">
        <f t="shared" si="179"/>
        <v>750</v>
      </c>
      <c r="BX194" s="16">
        <f t="shared" si="179"/>
        <v>450</v>
      </c>
      <c r="BY194" s="16">
        <f t="shared" si="179"/>
        <v>450</v>
      </c>
      <c r="BZ194" s="16">
        <f t="shared" si="179"/>
        <v>450</v>
      </c>
      <c r="CA194" s="16">
        <f t="shared" si="179"/>
        <v>400</v>
      </c>
      <c r="CB194" s="16">
        <f t="shared" ref="CB194:CE194" si="180">SUM(CB173:CB192)</f>
        <v>350</v>
      </c>
      <c r="CC194" s="16">
        <f t="shared" si="180"/>
        <v>100</v>
      </c>
      <c r="CD194" s="16">
        <f t="shared" si="180"/>
        <v>0</v>
      </c>
      <c r="CE194" s="16">
        <f t="shared" si="180"/>
        <v>0</v>
      </c>
      <c r="CK194" s="1">
        <f>SUM(O194:CE194)</f>
        <v>40370</v>
      </c>
      <c r="CL194" s="88">
        <f>CK194/$CK$194</f>
        <v>1</v>
      </c>
    </row>
    <row r="195" spans="14:90" x14ac:dyDescent="0.3"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</row>
    <row r="196" spans="14:90" x14ac:dyDescent="0.3">
      <c r="N196" s="40" t="s">
        <v>139</v>
      </c>
      <c r="O196" s="16">
        <f>O194/50</f>
        <v>3</v>
      </c>
      <c r="P196" s="16">
        <f t="shared" ref="P196:CA196" si="181">P194/50</f>
        <v>1.8</v>
      </c>
      <c r="Q196" s="16">
        <f>Q194/32</f>
        <v>2.8125</v>
      </c>
      <c r="R196" s="16">
        <f>R194/32</f>
        <v>4.6875</v>
      </c>
      <c r="S196" s="16">
        <f t="shared" si="181"/>
        <v>11</v>
      </c>
      <c r="T196" s="16">
        <f t="shared" si="181"/>
        <v>11</v>
      </c>
      <c r="U196" s="16">
        <f t="shared" si="181"/>
        <v>11</v>
      </c>
      <c r="V196" s="16">
        <f t="shared" si="181"/>
        <v>11</v>
      </c>
      <c r="W196" s="16">
        <f t="shared" si="181"/>
        <v>11</v>
      </c>
      <c r="X196" s="16">
        <f t="shared" si="181"/>
        <v>11</v>
      </c>
      <c r="Y196" s="16">
        <f t="shared" si="181"/>
        <v>11</v>
      </c>
      <c r="Z196" s="16">
        <f t="shared" si="181"/>
        <v>15</v>
      </c>
      <c r="AA196" s="16">
        <f t="shared" si="181"/>
        <v>15</v>
      </c>
      <c r="AB196" s="16">
        <f t="shared" si="181"/>
        <v>15</v>
      </c>
      <c r="AC196" s="16">
        <f t="shared" si="181"/>
        <v>15</v>
      </c>
      <c r="AD196" s="16">
        <f t="shared" si="181"/>
        <v>15</v>
      </c>
      <c r="AE196" s="16">
        <f t="shared" si="181"/>
        <v>15</v>
      </c>
      <c r="AF196" s="16">
        <f t="shared" si="181"/>
        <v>15</v>
      </c>
      <c r="AG196" s="16">
        <f t="shared" si="181"/>
        <v>15</v>
      </c>
      <c r="AH196" s="16">
        <f t="shared" si="181"/>
        <v>15</v>
      </c>
      <c r="AI196" s="16">
        <f>AI194/40</f>
        <v>15</v>
      </c>
      <c r="AJ196" s="16">
        <f t="shared" si="181"/>
        <v>15</v>
      </c>
      <c r="AK196" s="16">
        <f t="shared" si="181"/>
        <v>15</v>
      </c>
      <c r="AL196" s="16">
        <f t="shared" si="181"/>
        <v>15</v>
      </c>
      <c r="AM196" s="16">
        <f t="shared" si="181"/>
        <v>15</v>
      </c>
      <c r="AN196" s="16">
        <f t="shared" si="181"/>
        <v>15</v>
      </c>
      <c r="AO196" s="16">
        <f t="shared" si="181"/>
        <v>15</v>
      </c>
      <c r="AP196" s="16">
        <f t="shared" si="181"/>
        <v>15</v>
      </c>
      <c r="AQ196" s="16">
        <f t="shared" si="181"/>
        <v>15</v>
      </c>
      <c r="AR196" s="16">
        <f>AR194/40</f>
        <v>15</v>
      </c>
      <c r="AS196" s="16">
        <f t="shared" si="181"/>
        <v>15</v>
      </c>
      <c r="AT196" s="16">
        <f t="shared" si="181"/>
        <v>15</v>
      </c>
      <c r="AU196" s="16">
        <f t="shared" si="181"/>
        <v>18</v>
      </c>
      <c r="AV196" s="16">
        <f t="shared" si="181"/>
        <v>16</v>
      </c>
      <c r="AW196" s="16">
        <f t="shared" si="181"/>
        <v>16</v>
      </c>
      <c r="AX196" s="16">
        <f t="shared" si="181"/>
        <v>16</v>
      </c>
      <c r="AY196" s="16">
        <f t="shared" si="181"/>
        <v>16</v>
      </c>
      <c r="AZ196" s="16">
        <f t="shared" si="181"/>
        <v>16</v>
      </c>
      <c r="BA196" s="16">
        <f t="shared" si="181"/>
        <v>18</v>
      </c>
      <c r="BB196" s="16">
        <f t="shared" si="181"/>
        <v>12</v>
      </c>
      <c r="BC196" s="16">
        <f t="shared" si="181"/>
        <v>12</v>
      </c>
      <c r="BD196" s="16">
        <f t="shared" si="181"/>
        <v>12</v>
      </c>
      <c r="BE196" s="16">
        <f t="shared" si="181"/>
        <v>12</v>
      </c>
      <c r="BF196" s="16">
        <f t="shared" si="181"/>
        <v>12</v>
      </c>
      <c r="BG196" s="16">
        <f t="shared" si="181"/>
        <v>18</v>
      </c>
      <c r="BH196" s="16">
        <f t="shared" si="181"/>
        <v>12</v>
      </c>
      <c r="BI196" s="16">
        <f t="shared" si="181"/>
        <v>12</v>
      </c>
      <c r="BJ196" s="16">
        <f t="shared" si="181"/>
        <v>12</v>
      </c>
      <c r="BK196" s="16">
        <f t="shared" si="181"/>
        <v>12</v>
      </c>
      <c r="BL196" s="16">
        <f t="shared" si="181"/>
        <v>17</v>
      </c>
      <c r="BM196" s="16">
        <f>BM194/30</f>
        <v>13</v>
      </c>
      <c r="BN196" s="16">
        <f t="shared" si="181"/>
        <v>12</v>
      </c>
      <c r="BO196" s="16">
        <f t="shared" si="181"/>
        <v>11</v>
      </c>
      <c r="BP196" s="16">
        <f>BP194/30</f>
        <v>10</v>
      </c>
      <c r="BQ196" s="16">
        <f>BQ194/30</f>
        <v>10</v>
      </c>
      <c r="BR196" s="16">
        <f>BR194/50</f>
        <v>15</v>
      </c>
      <c r="BS196" s="16">
        <f t="shared" si="181"/>
        <v>9</v>
      </c>
      <c r="BT196" s="16">
        <f t="shared" si="181"/>
        <v>9</v>
      </c>
      <c r="BU196" s="16">
        <f t="shared" si="181"/>
        <v>9</v>
      </c>
      <c r="BV196" s="16">
        <f t="shared" si="181"/>
        <v>9</v>
      </c>
      <c r="BW196" s="16">
        <f t="shared" si="181"/>
        <v>15</v>
      </c>
      <c r="BX196" s="16">
        <f t="shared" si="181"/>
        <v>9</v>
      </c>
      <c r="BY196" s="16">
        <f t="shared" si="181"/>
        <v>9</v>
      </c>
      <c r="BZ196" s="16">
        <f t="shared" si="181"/>
        <v>9</v>
      </c>
      <c r="CA196" s="16">
        <f t="shared" si="181"/>
        <v>8</v>
      </c>
      <c r="CB196" s="16">
        <f t="shared" ref="CB196:CE196" si="182">CB194/50</f>
        <v>7</v>
      </c>
      <c r="CC196" s="16">
        <f t="shared" si="182"/>
        <v>2</v>
      </c>
      <c r="CD196" s="16">
        <f t="shared" si="182"/>
        <v>0</v>
      </c>
      <c r="CE196" s="16">
        <f t="shared" si="182"/>
        <v>0</v>
      </c>
    </row>
  </sheetData>
  <autoFilter ref="A6:CI171" xr:uid="{C38FE8C9-E14A-4129-90D7-119DDA8F1B05}"/>
  <pageMargins left="0.7" right="0.7" top="0.75" bottom="0.75" header="0.3" footer="0.3"/>
  <ignoredErrors>
    <ignoredError sqref="K11:K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5EDD-F878-4D3E-A35D-DF7573003D63}">
  <dimension ref="B1:D25"/>
  <sheetViews>
    <sheetView tabSelected="1" workbookViewId="0">
      <selection activeCell="C22" sqref="C22"/>
    </sheetView>
  </sheetViews>
  <sheetFormatPr defaultRowHeight="14.4" x14ac:dyDescent="0.3"/>
  <cols>
    <col min="1" max="1" width="3.59765625" customWidth="1"/>
    <col min="2" max="2" width="30.3984375" bestFit="1" customWidth="1"/>
    <col min="3" max="3" width="30.3984375" customWidth="1"/>
    <col min="4" max="4" width="15.19921875" customWidth="1"/>
  </cols>
  <sheetData>
    <row r="1" spans="2:4" x14ac:dyDescent="0.3">
      <c r="B1" s="11" t="s">
        <v>47</v>
      </c>
      <c r="C1" s="11" t="s">
        <v>181</v>
      </c>
      <c r="D1" s="11" t="s">
        <v>48</v>
      </c>
    </row>
    <row r="2" spans="2:4" x14ac:dyDescent="0.3">
      <c r="B2" s="47" t="s">
        <v>12</v>
      </c>
      <c r="C2" s="47" t="s">
        <v>182</v>
      </c>
      <c r="D2" s="48">
        <v>185</v>
      </c>
    </row>
    <row r="3" spans="2:4" x14ac:dyDescent="0.3">
      <c r="B3" s="44" t="s">
        <v>58</v>
      </c>
      <c r="C3" s="44" t="s">
        <v>188</v>
      </c>
      <c r="D3" s="49">
        <v>150</v>
      </c>
    </row>
    <row r="4" spans="2:4" x14ac:dyDescent="0.3">
      <c r="B4" s="44" t="s">
        <v>54</v>
      </c>
      <c r="C4" s="44" t="s">
        <v>186</v>
      </c>
      <c r="D4" s="49">
        <v>150</v>
      </c>
    </row>
    <row r="5" spans="2:4" x14ac:dyDescent="0.3">
      <c r="B5" s="144" t="s">
        <v>21</v>
      </c>
      <c r="C5" s="144" t="s">
        <v>185</v>
      </c>
      <c r="D5" s="145">
        <v>150</v>
      </c>
    </row>
    <row r="6" spans="2:4" x14ac:dyDescent="0.3">
      <c r="B6" s="144" t="s">
        <v>42</v>
      </c>
      <c r="C6" s="144" t="s">
        <v>184</v>
      </c>
      <c r="D6" s="145">
        <v>150</v>
      </c>
    </row>
    <row r="7" spans="2:4" x14ac:dyDescent="0.3">
      <c r="B7" s="44" t="s">
        <v>57</v>
      </c>
      <c r="C7" s="44" t="s">
        <v>189</v>
      </c>
      <c r="D7" s="49">
        <v>150</v>
      </c>
    </row>
    <row r="8" spans="2:4" x14ac:dyDescent="0.3">
      <c r="B8" s="44" t="s">
        <v>53</v>
      </c>
      <c r="C8" s="44"/>
      <c r="D8" s="49">
        <v>150</v>
      </c>
    </row>
    <row r="9" spans="2:4" x14ac:dyDescent="0.3">
      <c r="B9" s="144" t="s">
        <v>19</v>
      </c>
      <c r="C9" s="144" t="s">
        <v>187</v>
      </c>
      <c r="D9" s="145">
        <v>150</v>
      </c>
    </row>
    <row r="10" spans="2:4" x14ac:dyDescent="0.3">
      <c r="B10" s="144" t="s">
        <v>17</v>
      </c>
      <c r="C10" s="144" t="s">
        <v>183</v>
      </c>
      <c r="D10" s="145">
        <v>150</v>
      </c>
    </row>
    <row r="11" spans="2:4" x14ac:dyDescent="0.3">
      <c r="B11" s="47" t="s">
        <v>14</v>
      </c>
      <c r="C11" s="47" t="s">
        <v>15</v>
      </c>
      <c r="D11" s="48">
        <v>165</v>
      </c>
    </row>
    <row r="12" spans="2:4" x14ac:dyDescent="0.3">
      <c r="B12" s="44" t="s">
        <v>60</v>
      </c>
      <c r="C12" s="44" t="s">
        <v>190</v>
      </c>
      <c r="D12" s="49">
        <v>120</v>
      </c>
    </row>
    <row r="13" spans="2:4" x14ac:dyDescent="0.3">
      <c r="B13" s="44" t="s">
        <v>56</v>
      </c>
      <c r="C13" s="44" t="s">
        <v>195</v>
      </c>
      <c r="D13" s="49">
        <v>120</v>
      </c>
    </row>
    <row r="14" spans="2:4" x14ac:dyDescent="0.3">
      <c r="B14" s="144" t="s">
        <v>22</v>
      </c>
      <c r="C14" s="144" t="s">
        <v>198</v>
      </c>
      <c r="D14" s="145">
        <v>120</v>
      </c>
    </row>
    <row r="15" spans="2:4" x14ac:dyDescent="0.3">
      <c r="B15" s="144" t="s">
        <v>43</v>
      </c>
      <c r="C15" s="144"/>
      <c r="D15" s="145">
        <v>120</v>
      </c>
    </row>
    <row r="16" spans="2:4" x14ac:dyDescent="0.3">
      <c r="B16" s="44" t="s">
        <v>59</v>
      </c>
      <c r="C16" s="44" t="s">
        <v>191</v>
      </c>
      <c r="D16" s="49">
        <v>120</v>
      </c>
    </row>
    <row r="17" spans="2:4" x14ac:dyDescent="0.3">
      <c r="B17" s="44" t="s">
        <v>55</v>
      </c>
      <c r="C17" s="44" t="s">
        <v>194</v>
      </c>
      <c r="D17" s="49">
        <v>120</v>
      </c>
    </row>
    <row r="18" spans="2:4" x14ac:dyDescent="0.3">
      <c r="B18" s="144" t="s">
        <v>20</v>
      </c>
      <c r="C18" s="144" t="s">
        <v>192</v>
      </c>
      <c r="D18" s="145">
        <v>120</v>
      </c>
    </row>
    <row r="19" spans="2:4" x14ac:dyDescent="0.3">
      <c r="B19" s="144" t="s">
        <v>18</v>
      </c>
      <c r="C19" s="144" t="s">
        <v>193</v>
      </c>
      <c r="D19" s="145">
        <v>120</v>
      </c>
    </row>
    <row r="20" spans="2:4" x14ac:dyDescent="0.3">
      <c r="B20" s="47" t="s">
        <v>45</v>
      </c>
      <c r="C20" s="47" t="s">
        <v>196</v>
      </c>
      <c r="D20" s="48">
        <v>110</v>
      </c>
    </row>
    <row r="21" spans="2:4" x14ac:dyDescent="0.3">
      <c r="B21" s="47" t="s">
        <v>44</v>
      </c>
      <c r="C21" s="47" t="s">
        <v>197</v>
      </c>
      <c r="D21" s="48">
        <v>110</v>
      </c>
    </row>
    <row r="22" spans="2:4" x14ac:dyDescent="0.3">
      <c r="B22" s="107" t="s">
        <v>148</v>
      </c>
      <c r="C22" s="107"/>
      <c r="D22" s="108">
        <v>125</v>
      </c>
    </row>
    <row r="23" spans="2:4" x14ac:dyDescent="0.3">
      <c r="B23" s="107" t="s">
        <v>147</v>
      </c>
      <c r="C23" s="107"/>
      <c r="D23" s="108">
        <v>125</v>
      </c>
    </row>
    <row r="24" spans="2:4" x14ac:dyDescent="0.3">
      <c r="B24" s="107" t="s">
        <v>150</v>
      </c>
      <c r="C24" s="107" t="s">
        <v>149</v>
      </c>
      <c r="D24" s="108">
        <v>185</v>
      </c>
    </row>
    <row r="25" spans="2:4" x14ac:dyDescent="0.3">
      <c r="B25" s="107" t="s">
        <v>151</v>
      </c>
      <c r="C25" s="107" t="s">
        <v>152</v>
      </c>
      <c r="D25" s="108">
        <v>185</v>
      </c>
    </row>
  </sheetData>
  <sortState xmlns:xlrd2="http://schemas.microsoft.com/office/spreadsheetml/2017/richdata2" ref="B2:D21">
    <sortCondition descending="1" ref="D2:D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F0D2-48F9-4B34-B61A-A4CA297EC750}">
  <dimension ref="A1:AK40"/>
  <sheetViews>
    <sheetView workbookViewId="0">
      <selection activeCell="L2" sqref="L2"/>
    </sheetView>
  </sheetViews>
  <sheetFormatPr defaultRowHeight="14.4" x14ac:dyDescent="0.3"/>
  <cols>
    <col min="1" max="6" width="8.796875" style="16"/>
    <col min="7" max="7" width="21.8984375" style="1" customWidth="1"/>
    <col min="8" max="8" width="27" style="1" bestFit="1" customWidth="1"/>
    <col min="9" max="9" width="7.59765625" style="16" bestFit="1" customWidth="1"/>
    <col min="10" max="10" width="11.296875" style="16" customWidth="1"/>
    <col min="11" max="11" width="7.69921875" style="16" customWidth="1"/>
    <col min="12" max="12" width="18.8984375" style="1" bestFit="1" customWidth="1"/>
    <col min="13" max="13" width="7.8984375" style="16" customWidth="1"/>
    <col min="14" max="14" width="22.19921875" style="1" bestFit="1" customWidth="1"/>
    <col min="15" max="15" width="14.296875" style="16" customWidth="1"/>
    <col min="16" max="16" width="15.3984375" style="16" bestFit="1" customWidth="1"/>
    <col min="17" max="19" width="10.59765625" style="16" bestFit="1" customWidth="1"/>
    <col min="20" max="20" width="10.59765625" style="121" bestFit="1" customWidth="1"/>
    <col min="21" max="23" width="10.59765625" style="16" bestFit="1" customWidth="1"/>
    <col min="24" max="28" width="10.59765625" style="16" customWidth="1"/>
    <col min="29" max="29" width="11.8984375" style="16" customWidth="1"/>
    <col min="30" max="30" width="10.59765625" style="16" customWidth="1"/>
    <col min="31" max="31" width="11.8984375" style="16" bestFit="1" customWidth="1"/>
    <col min="32" max="36" width="10.59765625" style="16" bestFit="1" customWidth="1"/>
    <col min="37" max="37" width="12.296875" style="16" customWidth="1"/>
    <col min="38" max="16384" width="8.796875" style="1"/>
  </cols>
  <sheetData>
    <row r="1" spans="1:37" s="8" customFormat="1" ht="43.2" x14ac:dyDescent="0.3">
      <c r="A1" s="35" t="s">
        <v>175</v>
      </c>
      <c r="B1" s="35" t="s">
        <v>176</v>
      </c>
      <c r="C1" s="35" t="s">
        <v>177</v>
      </c>
      <c r="D1" s="35" t="s">
        <v>178</v>
      </c>
      <c r="E1" s="35" t="s">
        <v>179</v>
      </c>
      <c r="F1" s="35" t="s">
        <v>180</v>
      </c>
      <c r="G1" s="8" t="s">
        <v>74</v>
      </c>
      <c r="H1" s="8" t="s">
        <v>75</v>
      </c>
      <c r="I1" s="17" t="s">
        <v>76</v>
      </c>
      <c r="J1" s="17" t="s">
        <v>77</v>
      </c>
      <c r="K1" s="17" t="s">
        <v>78</v>
      </c>
      <c r="L1" s="8" t="s">
        <v>79</v>
      </c>
      <c r="M1" s="35" t="s">
        <v>80</v>
      </c>
      <c r="N1" s="8" t="s">
        <v>81</v>
      </c>
      <c r="O1" s="35" t="s">
        <v>82</v>
      </c>
      <c r="P1" s="35" t="s">
        <v>83</v>
      </c>
      <c r="Q1" s="35" t="s">
        <v>84</v>
      </c>
      <c r="R1" s="35" t="s">
        <v>153</v>
      </c>
      <c r="S1" s="35" t="s">
        <v>154</v>
      </c>
      <c r="T1" s="126" t="s">
        <v>155</v>
      </c>
      <c r="U1" s="35" t="s">
        <v>156</v>
      </c>
      <c r="V1" s="35" t="s">
        <v>157</v>
      </c>
      <c r="W1" s="35" t="s">
        <v>158</v>
      </c>
      <c r="X1" s="35" t="s">
        <v>166</v>
      </c>
      <c r="Y1" s="35" t="s">
        <v>167</v>
      </c>
      <c r="Z1" s="35" t="s">
        <v>168</v>
      </c>
      <c r="AA1" s="35" t="s">
        <v>169</v>
      </c>
      <c r="AB1" s="35"/>
      <c r="AC1" s="35" t="s">
        <v>170</v>
      </c>
      <c r="AD1" s="35" t="s">
        <v>101</v>
      </c>
      <c r="AE1" s="35" t="s">
        <v>159</v>
      </c>
      <c r="AF1" s="35" t="s">
        <v>160</v>
      </c>
      <c r="AG1" s="35" t="s">
        <v>161</v>
      </c>
      <c r="AH1" s="35" t="s">
        <v>162</v>
      </c>
      <c r="AI1" s="35" t="s">
        <v>163</v>
      </c>
      <c r="AJ1" s="35" t="s">
        <v>164</v>
      </c>
      <c r="AK1" s="35" t="s">
        <v>165</v>
      </c>
    </row>
    <row r="2" spans="1:37" x14ac:dyDescent="0.3">
      <c r="A2" s="16">
        <f>$J2</f>
        <v>32</v>
      </c>
      <c r="B2" s="16">
        <f t="shared" ref="B2:F3" si="0">$J2</f>
        <v>32</v>
      </c>
      <c r="C2" s="16">
        <f t="shared" si="0"/>
        <v>32</v>
      </c>
      <c r="D2" s="16">
        <f t="shared" si="0"/>
        <v>32</v>
      </c>
      <c r="E2" s="16">
        <f t="shared" si="0"/>
        <v>32</v>
      </c>
      <c r="F2" s="16">
        <f t="shared" si="0"/>
        <v>32</v>
      </c>
      <c r="G2" s="1" t="s">
        <v>85</v>
      </c>
      <c r="H2" s="1" t="s">
        <v>86</v>
      </c>
      <c r="I2" s="16">
        <v>192</v>
      </c>
      <c r="J2" s="16">
        <f>I2/6</f>
        <v>32</v>
      </c>
      <c r="K2" s="16" t="s">
        <v>16</v>
      </c>
      <c r="L2" s="1" t="s">
        <v>87</v>
      </c>
      <c r="N2" s="1" t="s">
        <v>88</v>
      </c>
      <c r="O2" s="16" t="s">
        <v>89</v>
      </c>
      <c r="P2" s="16">
        <v>32</v>
      </c>
      <c r="Q2" s="16">
        <v>6</v>
      </c>
      <c r="R2" s="16">
        <v>0.9</v>
      </c>
      <c r="S2" s="16">
        <v>1.6</v>
      </c>
      <c r="T2" s="121">
        <v>0.73728000000000027</v>
      </c>
      <c r="U2" s="16">
        <v>0.5</v>
      </c>
      <c r="V2" s="16">
        <v>0.5</v>
      </c>
      <c r="W2" s="121">
        <f>SUM(R2:V2)</f>
        <v>4.2372800000000002</v>
      </c>
      <c r="X2" s="120">
        <f>R2*$I2</f>
        <v>172.8</v>
      </c>
      <c r="Y2" s="120">
        <f t="shared" ref="Y2:AA17" si="1">S2*$I2</f>
        <v>307.20000000000005</v>
      </c>
      <c r="Z2" s="120">
        <f t="shared" si="1"/>
        <v>141.55776000000006</v>
      </c>
      <c r="AA2" s="120">
        <f t="shared" si="1"/>
        <v>96</v>
      </c>
      <c r="AB2" s="121"/>
      <c r="AC2" s="121"/>
      <c r="AD2" s="121"/>
      <c r="AE2" s="120">
        <f>$W2*A2</f>
        <v>135.59296000000001</v>
      </c>
      <c r="AF2" s="120">
        <f t="shared" ref="AF2:AJ17" si="2">$W2*B2</f>
        <v>135.59296000000001</v>
      </c>
      <c r="AG2" s="120">
        <f t="shared" si="2"/>
        <v>135.59296000000001</v>
      </c>
      <c r="AH2" s="120">
        <f t="shared" si="2"/>
        <v>135.59296000000001</v>
      </c>
      <c r="AI2" s="120">
        <f t="shared" si="2"/>
        <v>135.59296000000001</v>
      </c>
      <c r="AJ2" s="120">
        <f t="shared" si="2"/>
        <v>135.59296000000001</v>
      </c>
      <c r="AK2" s="120">
        <f>SUM(AE2:AJ2)</f>
        <v>813.55775999999992</v>
      </c>
    </row>
    <row r="3" spans="1:37" x14ac:dyDescent="0.3">
      <c r="A3" s="16">
        <f>$J3</f>
        <v>12</v>
      </c>
      <c r="B3" s="16">
        <f t="shared" si="0"/>
        <v>12</v>
      </c>
      <c r="C3" s="16">
        <f t="shared" si="0"/>
        <v>12</v>
      </c>
      <c r="D3" s="16">
        <f t="shared" si="0"/>
        <v>12</v>
      </c>
      <c r="E3" s="16">
        <f t="shared" si="0"/>
        <v>12</v>
      </c>
      <c r="F3" s="16">
        <f t="shared" si="0"/>
        <v>12</v>
      </c>
      <c r="G3" s="1" t="s">
        <v>85</v>
      </c>
      <c r="H3" s="1" t="s">
        <v>90</v>
      </c>
      <c r="I3" s="16">
        <v>72</v>
      </c>
      <c r="J3" s="16">
        <f t="shared" ref="J3:J28" si="3">I3/6</f>
        <v>12</v>
      </c>
      <c r="K3" s="16" t="s">
        <v>16</v>
      </c>
      <c r="L3" s="1" t="s">
        <v>91</v>
      </c>
      <c r="N3" s="1" t="s">
        <v>88</v>
      </c>
      <c r="O3" s="16" t="s">
        <v>89</v>
      </c>
      <c r="P3" s="16">
        <v>12</v>
      </c>
      <c r="Q3" s="16">
        <v>6</v>
      </c>
      <c r="R3" s="16">
        <v>0.9</v>
      </c>
      <c r="S3" s="16">
        <v>1.6</v>
      </c>
      <c r="T3" s="121">
        <v>0.73728000000000027</v>
      </c>
      <c r="U3" s="16">
        <v>0.5</v>
      </c>
      <c r="V3" s="16">
        <v>0.5</v>
      </c>
      <c r="W3" s="121">
        <f t="shared" ref="W3:W31" si="4">SUM(R3:V3)</f>
        <v>4.2372800000000002</v>
      </c>
      <c r="X3" s="120">
        <f t="shared" ref="X3:X31" si="5">R3*$I3</f>
        <v>64.8</v>
      </c>
      <c r="Y3" s="120">
        <f t="shared" si="1"/>
        <v>115.2</v>
      </c>
      <c r="Z3" s="120">
        <f t="shared" si="1"/>
        <v>53.084160000000018</v>
      </c>
      <c r="AA3" s="120">
        <f t="shared" si="1"/>
        <v>36</v>
      </c>
      <c r="AB3" s="121"/>
      <c r="AC3" s="121"/>
      <c r="AD3" s="121"/>
      <c r="AE3" s="120">
        <f t="shared" ref="AE3:AE31" si="6">$W3*A3</f>
        <v>50.847360000000002</v>
      </c>
      <c r="AF3" s="120">
        <f t="shared" si="2"/>
        <v>50.847360000000002</v>
      </c>
      <c r="AG3" s="120">
        <f t="shared" si="2"/>
        <v>50.847360000000002</v>
      </c>
      <c r="AH3" s="120">
        <f t="shared" si="2"/>
        <v>50.847360000000002</v>
      </c>
      <c r="AI3" s="120">
        <f t="shared" si="2"/>
        <v>50.847360000000002</v>
      </c>
      <c r="AJ3" s="120">
        <f t="shared" si="2"/>
        <v>50.847360000000002</v>
      </c>
      <c r="AK3" s="120">
        <f t="shared" ref="AK3:AK31" si="7">SUM(AE3:AJ3)</f>
        <v>305.08416</v>
      </c>
    </row>
    <row r="4" spans="1:37" x14ac:dyDescent="0.3">
      <c r="A4" s="37">
        <f t="shared" ref="A4:F13" si="8">$J4</f>
        <v>8</v>
      </c>
      <c r="B4" s="37">
        <f t="shared" si="8"/>
        <v>8</v>
      </c>
      <c r="C4" s="37">
        <f t="shared" si="8"/>
        <v>8</v>
      </c>
      <c r="D4" s="37">
        <f t="shared" si="8"/>
        <v>8</v>
      </c>
      <c r="E4" s="37">
        <f t="shared" si="8"/>
        <v>8</v>
      </c>
      <c r="F4" s="37">
        <f t="shared" si="8"/>
        <v>8</v>
      </c>
      <c r="G4" s="36" t="s">
        <v>85</v>
      </c>
      <c r="H4" s="36" t="s">
        <v>92</v>
      </c>
      <c r="I4" s="37">
        <v>8</v>
      </c>
      <c r="J4" s="37">
        <v>8</v>
      </c>
      <c r="K4" s="37" t="s">
        <v>16</v>
      </c>
      <c r="L4" s="36" t="s">
        <v>93</v>
      </c>
      <c r="M4" s="37"/>
      <c r="N4" s="36" t="s">
        <v>94</v>
      </c>
      <c r="O4" s="37" t="s">
        <v>89</v>
      </c>
      <c r="P4" s="37">
        <v>8</v>
      </c>
      <c r="Q4" s="37">
        <v>1</v>
      </c>
      <c r="R4" s="37">
        <v>0.9</v>
      </c>
      <c r="S4" s="37">
        <v>1.6</v>
      </c>
      <c r="T4" s="122">
        <v>0.73728000000000027</v>
      </c>
      <c r="U4" s="37">
        <v>0.5</v>
      </c>
      <c r="V4" s="37">
        <v>0.5</v>
      </c>
      <c r="W4" s="122">
        <f t="shared" si="4"/>
        <v>4.2372800000000002</v>
      </c>
      <c r="X4" s="124">
        <f t="shared" si="5"/>
        <v>7.2</v>
      </c>
      <c r="Y4" s="124">
        <f t="shared" si="1"/>
        <v>12.8</v>
      </c>
      <c r="Z4" s="124">
        <f t="shared" si="1"/>
        <v>5.8982400000000021</v>
      </c>
      <c r="AA4" s="124">
        <f t="shared" si="1"/>
        <v>4</v>
      </c>
      <c r="AB4" s="122"/>
      <c r="AC4" s="122"/>
      <c r="AD4" s="122"/>
      <c r="AE4" s="124">
        <f t="shared" si="6"/>
        <v>33.898240000000001</v>
      </c>
      <c r="AF4" s="124">
        <f t="shared" si="2"/>
        <v>33.898240000000001</v>
      </c>
      <c r="AG4" s="124">
        <f t="shared" si="2"/>
        <v>33.898240000000001</v>
      </c>
      <c r="AH4" s="124">
        <f t="shared" si="2"/>
        <v>33.898240000000001</v>
      </c>
      <c r="AI4" s="124">
        <f t="shared" si="2"/>
        <v>33.898240000000001</v>
      </c>
      <c r="AJ4" s="124">
        <f t="shared" si="2"/>
        <v>33.898240000000001</v>
      </c>
      <c r="AK4" s="124">
        <f t="shared" si="7"/>
        <v>203.38943999999998</v>
      </c>
    </row>
    <row r="5" spans="1:37" x14ac:dyDescent="0.3">
      <c r="A5" s="37">
        <f t="shared" si="8"/>
        <v>4</v>
      </c>
      <c r="B5" s="37">
        <f t="shared" si="8"/>
        <v>4</v>
      </c>
      <c r="C5" s="37">
        <f t="shared" si="8"/>
        <v>4</v>
      </c>
      <c r="D5" s="37">
        <f t="shared" si="8"/>
        <v>4</v>
      </c>
      <c r="E5" s="37">
        <f t="shared" si="8"/>
        <v>4</v>
      </c>
      <c r="F5" s="37">
        <f t="shared" si="8"/>
        <v>4</v>
      </c>
      <c r="G5" s="36" t="s">
        <v>85</v>
      </c>
      <c r="H5" s="36" t="s">
        <v>95</v>
      </c>
      <c r="I5" s="37">
        <v>4</v>
      </c>
      <c r="J5" s="37">
        <v>4</v>
      </c>
      <c r="K5" s="37" t="s">
        <v>16</v>
      </c>
      <c r="L5" s="36" t="s">
        <v>96</v>
      </c>
      <c r="M5" s="37"/>
      <c r="N5" s="36" t="s">
        <v>94</v>
      </c>
      <c r="O5" s="37" t="s">
        <v>89</v>
      </c>
      <c r="P5" s="37">
        <v>4</v>
      </c>
      <c r="Q5" s="37">
        <v>1</v>
      </c>
      <c r="R5" s="37">
        <v>0.9</v>
      </c>
      <c r="S5" s="37">
        <v>1.6</v>
      </c>
      <c r="T5" s="122">
        <v>0.73728000000000027</v>
      </c>
      <c r="U5" s="37">
        <v>0.5</v>
      </c>
      <c r="V5" s="37">
        <v>0.5</v>
      </c>
      <c r="W5" s="122">
        <f t="shared" si="4"/>
        <v>4.2372800000000002</v>
      </c>
      <c r="X5" s="124">
        <f t="shared" si="5"/>
        <v>3.6</v>
      </c>
      <c r="Y5" s="124">
        <f t="shared" si="1"/>
        <v>6.4</v>
      </c>
      <c r="Z5" s="124">
        <f t="shared" si="1"/>
        <v>2.9491200000000011</v>
      </c>
      <c r="AA5" s="124">
        <f t="shared" si="1"/>
        <v>2</v>
      </c>
      <c r="AB5" s="122"/>
      <c r="AC5" s="122"/>
      <c r="AD5" s="122"/>
      <c r="AE5" s="124">
        <f t="shared" si="6"/>
        <v>16.949120000000001</v>
      </c>
      <c r="AF5" s="124">
        <f t="shared" si="2"/>
        <v>16.949120000000001</v>
      </c>
      <c r="AG5" s="124">
        <f t="shared" si="2"/>
        <v>16.949120000000001</v>
      </c>
      <c r="AH5" s="124">
        <f t="shared" si="2"/>
        <v>16.949120000000001</v>
      </c>
      <c r="AI5" s="124">
        <f t="shared" si="2"/>
        <v>16.949120000000001</v>
      </c>
      <c r="AJ5" s="124">
        <f t="shared" si="2"/>
        <v>16.949120000000001</v>
      </c>
      <c r="AK5" s="124">
        <f t="shared" si="7"/>
        <v>101.69471999999999</v>
      </c>
    </row>
    <row r="6" spans="1:37" x14ac:dyDescent="0.3">
      <c r="A6" s="16">
        <f t="shared" si="8"/>
        <v>23</v>
      </c>
      <c r="B6" s="16">
        <f t="shared" si="8"/>
        <v>23</v>
      </c>
      <c r="C6" s="16">
        <f t="shared" si="8"/>
        <v>23</v>
      </c>
      <c r="D6" s="16">
        <f t="shared" si="8"/>
        <v>23</v>
      </c>
      <c r="E6" s="16">
        <f t="shared" si="8"/>
        <v>23</v>
      </c>
      <c r="F6" s="16">
        <f t="shared" si="8"/>
        <v>23</v>
      </c>
      <c r="G6" s="1" t="s">
        <v>85</v>
      </c>
      <c r="H6" s="1" t="s">
        <v>97</v>
      </c>
      <c r="I6" s="16">
        <v>138</v>
      </c>
      <c r="J6" s="16">
        <f t="shared" si="3"/>
        <v>23</v>
      </c>
      <c r="K6" s="16" t="s">
        <v>16</v>
      </c>
      <c r="L6" s="1" t="s">
        <v>98</v>
      </c>
      <c r="N6" s="1" t="s">
        <v>99</v>
      </c>
      <c r="O6" s="16" t="s">
        <v>89</v>
      </c>
      <c r="P6" s="16">
        <v>23</v>
      </c>
      <c r="Q6" s="16">
        <v>6</v>
      </c>
      <c r="R6" s="16">
        <v>0.9</v>
      </c>
      <c r="S6" s="16">
        <v>1.6</v>
      </c>
      <c r="T6" s="121">
        <v>0.73728000000000027</v>
      </c>
      <c r="U6" s="16">
        <v>0.5</v>
      </c>
      <c r="V6" s="16">
        <v>0.5</v>
      </c>
      <c r="W6" s="121">
        <f t="shared" si="4"/>
        <v>4.2372800000000002</v>
      </c>
      <c r="X6" s="120">
        <f t="shared" si="5"/>
        <v>124.2</v>
      </c>
      <c r="Y6" s="120">
        <f t="shared" si="1"/>
        <v>220.8</v>
      </c>
      <c r="Z6" s="120">
        <f t="shared" si="1"/>
        <v>101.74464000000003</v>
      </c>
      <c r="AA6" s="120">
        <f t="shared" si="1"/>
        <v>69</v>
      </c>
      <c r="AB6" s="121"/>
      <c r="AC6" s="121"/>
      <c r="AD6" s="121"/>
      <c r="AE6" s="120">
        <f t="shared" si="6"/>
        <v>97.457440000000005</v>
      </c>
      <c r="AF6" s="120">
        <f t="shared" si="2"/>
        <v>97.457440000000005</v>
      </c>
      <c r="AG6" s="120">
        <f t="shared" si="2"/>
        <v>97.457440000000005</v>
      </c>
      <c r="AH6" s="120">
        <f t="shared" si="2"/>
        <v>97.457440000000005</v>
      </c>
      <c r="AI6" s="120">
        <f t="shared" si="2"/>
        <v>97.457440000000005</v>
      </c>
      <c r="AJ6" s="120">
        <f t="shared" si="2"/>
        <v>97.457440000000005</v>
      </c>
      <c r="AK6" s="120">
        <f t="shared" si="7"/>
        <v>584.74464</v>
      </c>
    </row>
    <row r="7" spans="1:37" x14ac:dyDescent="0.3">
      <c r="A7" s="16">
        <f t="shared" si="8"/>
        <v>2</v>
      </c>
      <c r="B7" s="16">
        <f t="shared" si="8"/>
        <v>2</v>
      </c>
      <c r="C7" s="16">
        <f t="shared" si="8"/>
        <v>2</v>
      </c>
      <c r="D7" s="16">
        <f t="shared" si="8"/>
        <v>2</v>
      </c>
      <c r="E7" s="16">
        <f t="shared" si="8"/>
        <v>2</v>
      </c>
      <c r="F7" s="16">
        <f t="shared" si="8"/>
        <v>2</v>
      </c>
      <c r="G7" s="1" t="s">
        <v>85</v>
      </c>
      <c r="H7" s="1" t="s">
        <v>100</v>
      </c>
      <c r="I7" s="16">
        <v>12</v>
      </c>
      <c r="J7" s="16">
        <f t="shared" si="3"/>
        <v>2</v>
      </c>
      <c r="K7" s="16" t="s">
        <v>16</v>
      </c>
      <c r="L7" s="1" t="s">
        <v>98</v>
      </c>
      <c r="N7" s="1" t="s">
        <v>101</v>
      </c>
      <c r="O7" s="16" t="s">
        <v>89</v>
      </c>
      <c r="P7" s="16">
        <v>2</v>
      </c>
      <c r="Q7" s="16">
        <v>6</v>
      </c>
      <c r="R7" s="16">
        <v>2.7</v>
      </c>
      <c r="S7" s="16">
        <v>4.8000000000000007</v>
      </c>
      <c r="T7" s="121">
        <v>2.2118400000000009</v>
      </c>
      <c r="U7" s="16">
        <v>0.5</v>
      </c>
      <c r="V7" s="16">
        <v>0.5</v>
      </c>
      <c r="W7" s="121">
        <f t="shared" si="4"/>
        <v>10.711840000000002</v>
      </c>
      <c r="X7" s="120">
        <f t="shared" si="5"/>
        <v>32.400000000000006</v>
      </c>
      <c r="Y7" s="120">
        <f t="shared" si="1"/>
        <v>57.600000000000009</v>
      </c>
      <c r="Z7" s="120">
        <f t="shared" si="1"/>
        <v>26.542080000000013</v>
      </c>
      <c r="AA7" s="120">
        <f t="shared" si="1"/>
        <v>6</v>
      </c>
      <c r="AB7" s="121"/>
      <c r="AC7" s="121"/>
      <c r="AD7" s="121"/>
      <c r="AE7" s="120">
        <f t="shared" si="6"/>
        <v>21.423680000000004</v>
      </c>
      <c r="AF7" s="120">
        <f t="shared" si="2"/>
        <v>21.423680000000004</v>
      </c>
      <c r="AG7" s="120">
        <f t="shared" si="2"/>
        <v>21.423680000000004</v>
      </c>
      <c r="AH7" s="120">
        <f t="shared" si="2"/>
        <v>21.423680000000004</v>
      </c>
      <c r="AI7" s="120">
        <f t="shared" si="2"/>
        <v>21.423680000000004</v>
      </c>
      <c r="AJ7" s="120">
        <f t="shared" si="2"/>
        <v>21.423680000000004</v>
      </c>
      <c r="AK7" s="120">
        <f t="shared" si="7"/>
        <v>128.54208000000003</v>
      </c>
    </row>
    <row r="8" spans="1:37" x14ac:dyDescent="0.3">
      <c r="A8" s="16">
        <f t="shared" si="8"/>
        <v>27</v>
      </c>
      <c r="B8" s="16">
        <f t="shared" si="8"/>
        <v>27</v>
      </c>
      <c r="C8" s="16">
        <f t="shared" si="8"/>
        <v>27</v>
      </c>
      <c r="D8" s="16">
        <f t="shared" si="8"/>
        <v>27</v>
      </c>
      <c r="E8" s="16">
        <f t="shared" si="8"/>
        <v>27</v>
      </c>
      <c r="F8" s="16">
        <f t="shared" si="8"/>
        <v>27</v>
      </c>
      <c r="G8" s="1" t="s">
        <v>85</v>
      </c>
      <c r="H8" s="1" t="s">
        <v>102</v>
      </c>
      <c r="I8" s="16">
        <v>162</v>
      </c>
      <c r="J8" s="16">
        <f t="shared" si="3"/>
        <v>27</v>
      </c>
      <c r="K8" s="16" t="s">
        <v>103</v>
      </c>
      <c r="L8" s="1" t="s">
        <v>104</v>
      </c>
      <c r="N8" s="1" t="s">
        <v>88</v>
      </c>
      <c r="O8" s="16" t="s">
        <v>89</v>
      </c>
      <c r="P8" s="16">
        <v>27</v>
      </c>
      <c r="Q8" s="16">
        <v>6</v>
      </c>
      <c r="R8" s="16">
        <v>1.35</v>
      </c>
      <c r="S8" s="16">
        <v>1.6</v>
      </c>
      <c r="T8" s="121">
        <v>1.4745600000000005</v>
      </c>
      <c r="U8" s="16">
        <v>0.5</v>
      </c>
      <c r="V8" s="16">
        <v>0.5</v>
      </c>
      <c r="W8" s="121">
        <f t="shared" si="4"/>
        <v>5.4245600000000005</v>
      </c>
      <c r="X8" s="120">
        <f t="shared" si="5"/>
        <v>218.70000000000002</v>
      </c>
      <c r="Y8" s="120">
        <f t="shared" si="1"/>
        <v>259.2</v>
      </c>
      <c r="Z8" s="120">
        <f t="shared" si="1"/>
        <v>238.8787200000001</v>
      </c>
      <c r="AA8" s="120">
        <f t="shared" si="1"/>
        <v>81</v>
      </c>
      <c r="AB8" s="121"/>
      <c r="AC8" s="121"/>
      <c r="AD8" s="121"/>
      <c r="AE8" s="120">
        <f t="shared" si="6"/>
        <v>146.46312</v>
      </c>
      <c r="AF8" s="120">
        <f t="shared" si="2"/>
        <v>146.46312</v>
      </c>
      <c r="AG8" s="120">
        <f t="shared" si="2"/>
        <v>146.46312</v>
      </c>
      <c r="AH8" s="120">
        <f t="shared" si="2"/>
        <v>146.46312</v>
      </c>
      <c r="AI8" s="120">
        <f t="shared" si="2"/>
        <v>146.46312</v>
      </c>
      <c r="AJ8" s="120">
        <f t="shared" si="2"/>
        <v>146.46312</v>
      </c>
      <c r="AK8" s="120">
        <f t="shared" si="7"/>
        <v>878.77872000000002</v>
      </c>
    </row>
    <row r="9" spans="1:37" x14ac:dyDescent="0.3">
      <c r="A9" s="16">
        <f t="shared" si="8"/>
        <v>27</v>
      </c>
      <c r="B9" s="16">
        <f t="shared" si="8"/>
        <v>27</v>
      </c>
      <c r="C9" s="16">
        <f t="shared" si="8"/>
        <v>27</v>
      </c>
      <c r="D9" s="16">
        <f t="shared" si="8"/>
        <v>27</v>
      </c>
      <c r="E9" s="16">
        <f t="shared" si="8"/>
        <v>27</v>
      </c>
      <c r="F9" s="16">
        <f t="shared" si="8"/>
        <v>27</v>
      </c>
      <c r="G9" s="1" t="s">
        <v>85</v>
      </c>
      <c r="H9" s="1" t="s">
        <v>105</v>
      </c>
      <c r="I9" s="16">
        <v>162</v>
      </c>
      <c r="J9" s="16">
        <f t="shared" si="3"/>
        <v>27</v>
      </c>
      <c r="K9" s="16" t="s">
        <v>16</v>
      </c>
      <c r="N9" s="1" t="s">
        <v>88</v>
      </c>
      <c r="O9" s="16" t="s">
        <v>89</v>
      </c>
      <c r="P9" s="16">
        <v>27</v>
      </c>
      <c r="Q9" s="16">
        <v>6</v>
      </c>
      <c r="R9" s="16">
        <v>0.45</v>
      </c>
      <c r="S9" s="16">
        <v>0.8</v>
      </c>
      <c r="T9" s="121">
        <v>0.73728000000000027</v>
      </c>
      <c r="U9" s="16">
        <v>0.5</v>
      </c>
      <c r="V9" s="16">
        <v>0.5</v>
      </c>
      <c r="W9" s="121">
        <f t="shared" si="4"/>
        <v>2.9872800000000002</v>
      </c>
      <c r="X9" s="120">
        <f t="shared" si="5"/>
        <v>72.900000000000006</v>
      </c>
      <c r="Y9" s="120">
        <f t="shared" si="1"/>
        <v>129.6</v>
      </c>
      <c r="Z9" s="120">
        <f t="shared" si="1"/>
        <v>119.43936000000005</v>
      </c>
      <c r="AA9" s="120">
        <f t="shared" si="1"/>
        <v>81</v>
      </c>
      <c r="AB9" s="121"/>
      <c r="AC9" s="121"/>
      <c r="AD9" s="121"/>
      <c r="AE9" s="120">
        <f t="shared" si="6"/>
        <v>80.656559999999999</v>
      </c>
      <c r="AF9" s="120">
        <f t="shared" si="2"/>
        <v>80.656559999999999</v>
      </c>
      <c r="AG9" s="120">
        <f t="shared" si="2"/>
        <v>80.656559999999999</v>
      </c>
      <c r="AH9" s="120">
        <f t="shared" si="2"/>
        <v>80.656559999999999</v>
      </c>
      <c r="AI9" s="120">
        <f t="shared" si="2"/>
        <v>80.656559999999999</v>
      </c>
      <c r="AJ9" s="120">
        <f t="shared" si="2"/>
        <v>80.656559999999999</v>
      </c>
      <c r="AK9" s="120">
        <f t="shared" si="7"/>
        <v>483.93936000000002</v>
      </c>
    </row>
    <row r="10" spans="1:37" x14ac:dyDescent="0.3">
      <c r="A10" s="16">
        <f t="shared" si="8"/>
        <v>32</v>
      </c>
      <c r="B10" s="16">
        <f t="shared" si="8"/>
        <v>32</v>
      </c>
      <c r="C10" s="16">
        <f t="shared" si="8"/>
        <v>32</v>
      </c>
      <c r="D10" s="16">
        <f t="shared" si="8"/>
        <v>32</v>
      </c>
      <c r="E10" s="16">
        <f t="shared" si="8"/>
        <v>32</v>
      </c>
      <c r="F10" s="16">
        <f t="shared" si="8"/>
        <v>32</v>
      </c>
      <c r="G10" s="1" t="s">
        <v>106</v>
      </c>
      <c r="H10" s="1" t="s">
        <v>107</v>
      </c>
      <c r="I10" s="16">
        <v>192</v>
      </c>
      <c r="J10" s="16">
        <f t="shared" si="3"/>
        <v>32</v>
      </c>
      <c r="K10" s="16" t="s">
        <v>103</v>
      </c>
      <c r="L10" s="1" t="s">
        <v>108</v>
      </c>
      <c r="M10" s="16" t="s">
        <v>109</v>
      </c>
      <c r="N10" s="1" t="s">
        <v>88</v>
      </c>
      <c r="O10" s="16" t="s">
        <v>89</v>
      </c>
      <c r="P10" s="16">
        <v>32</v>
      </c>
      <c r="Q10" s="16">
        <v>6</v>
      </c>
      <c r="R10" s="16">
        <v>2.7</v>
      </c>
      <c r="S10" s="16">
        <v>3.2</v>
      </c>
      <c r="T10" s="121">
        <v>1.4745600000000005</v>
      </c>
      <c r="U10" s="16">
        <v>0.5</v>
      </c>
      <c r="V10" s="16">
        <v>0.5</v>
      </c>
      <c r="W10" s="121">
        <f t="shared" si="4"/>
        <v>8.3745600000000007</v>
      </c>
      <c r="X10" s="120">
        <f t="shared" si="5"/>
        <v>518.40000000000009</v>
      </c>
      <c r="Y10" s="120">
        <f t="shared" si="1"/>
        <v>614.40000000000009</v>
      </c>
      <c r="Z10" s="120">
        <f t="shared" si="1"/>
        <v>283.11552000000012</v>
      </c>
      <c r="AA10" s="120">
        <f t="shared" si="1"/>
        <v>96</v>
      </c>
      <c r="AB10" s="121"/>
      <c r="AC10" s="121"/>
      <c r="AD10" s="121"/>
      <c r="AE10" s="120">
        <f t="shared" si="6"/>
        <v>267.98592000000002</v>
      </c>
      <c r="AF10" s="120">
        <f t="shared" si="2"/>
        <v>267.98592000000002</v>
      </c>
      <c r="AG10" s="120">
        <f t="shared" si="2"/>
        <v>267.98592000000002</v>
      </c>
      <c r="AH10" s="120">
        <f t="shared" si="2"/>
        <v>267.98592000000002</v>
      </c>
      <c r="AI10" s="120">
        <f t="shared" si="2"/>
        <v>267.98592000000002</v>
      </c>
      <c r="AJ10" s="120">
        <f t="shared" si="2"/>
        <v>267.98592000000002</v>
      </c>
      <c r="AK10" s="120">
        <f t="shared" si="7"/>
        <v>1607.9155200000002</v>
      </c>
    </row>
    <row r="11" spans="1:37" x14ac:dyDescent="0.3">
      <c r="A11" s="16">
        <f t="shared" si="8"/>
        <v>12</v>
      </c>
      <c r="B11" s="16">
        <f t="shared" si="8"/>
        <v>12</v>
      </c>
      <c r="C11" s="16">
        <f t="shared" si="8"/>
        <v>12</v>
      </c>
      <c r="D11" s="16">
        <f t="shared" si="8"/>
        <v>12</v>
      </c>
      <c r="E11" s="16">
        <f t="shared" si="8"/>
        <v>12</v>
      </c>
      <c r="F11" s="16">
        <f t="shared" si="8"/>
        <v>12</v>
      </c>
      <c r="G11" s="1" t="s">
        <v>106</v>
      </c>
      <c r="H11" s="1" t="s">
        <v>110</v>
      </c>
      <c r="I11" s="16">
        <v>72</v>
      </c>
      <c r="J11" s="16">
        <f t="shared" si="3"/>
        <v>12</v>
      </c>
      <c r="K11" s="16" t="s">
        <v>103</v>
      </c>
      <c r="L11" s="1" t="s">
        <v>111</v>
      </c>
      <c r="M11" s="16" t="s">
        <v>109</v>
      </c>
      <c r="N11" s="1" t="s">
        <v>88</v>
      </c>
      <c r="O11" s="16" t="s">
        <v>89</v>
      </c>
      <c r="P11" s="16">
        <v>12</v>
      </c>
      <c r="Q11" s="16">
        <v>6</v>
      </c>
      <c r="R11" s="16">
        <v>1.8</v>
      </c>
      <c r="S11" s="16">
        <v>3.2</v>
      </c>
      <c r="T11" s="121">
        <v>1.4745600000000005</v>
      </c>
      <c r="U11" s="16">
        <v>0.5</v>
      </c>
      <c r="V11" s="16">
        <v>0.5</v>
      </c>
      <c r="W11" s="121">
        <f t="shared" si="4"/>
        <v>7.4745600000000003</v>
      </c>
      <c r="X11" s="120">
        <f t="shared" si="5"/>
        <v>129.6</v>
      </c>
      <c r="Y11" s="120">
        <f t="shared" si="1"/>
        <v>230.4</v>
      </c>
      <c r="Z11" s="120">
        <f t="shared" si="1"/>
        <v>106.16832000000004</v>
      </c>
      <c r="AA11" s="120">
        <f t="shared" si="1"/>
        <v>36</v>
      </c>
      <c r="AB11" s="121"/>
      <c r="AC11" s="121"/>
      <c r="AD11" s="121"/>
      <c r="AE11" s="120">
        <f t="shared" si="6"/>
        <v>89.694720000000004</v>
      </c>
      <c r="AF11" s="120">
        <f t="shared" si="2"/>
        <v>89.694720000000004</v>
      </c>
      <c r="AG11" s="120">
        <f t="shared" si="2"/>
        <v>89.694720000000004</v>
      </c>
      <c r="AH11" s="120">
        <f t="shared" si="2"/>
        <v>89.694720000000004</v>
      </c>
      <c r="AI11" s="120">
        <f t="shared" si="2"/>
        <v>89.694720000000004</v>
      </c>
      <c r="AJ11" s="120">
        <f t="shared" si="2"/>
        <v>89.694720000000004</v>
      </c>
      <c r="AK11" s="120">
        <f t="shared" si="7"/>
        <v>538.16831999999999</v>
      </c>
    </row>
    <row r="12" spans="1:37" x14ac:dyDescent="0.3">
      <c r="A12" s="37">
        <f t="shared" si="8"/>
        <v>8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6" t="s">
        <v>106</v>
      </c>
      <c r="H12" s="36" t="s">
        <v>112</v>
      </c>
      <c r="I12" s="37">
        <v>8</v>
      </c>
      <c r="J12" s="37">
        <v>8</v>
      </c>
      <c r="K12" s="37" t="s">
        <v>103</v>
      </c>
      <c r="L12" s="36" t="s">
        <v>108</v>
      </c>
      <c r="M12" s="37" t="s">
        <v>109</v>
      </c>
      <c r="N12" s="36" t="s">
        <v>94</v>
      </c>
      <c r="O12" s="37" t="s">
        <v>89</v>
      </c>
      <c r="P12" s="37">
        <v>8</v>
      </c>
      <c r="Q12" s="37">
        <v>1</v>
      </c>
      <c r="R12" s="37">
        <v>2.7</v>
      </c>
      <c r="S12" s="37">
        <v>3.2</v>
      </c>
      <c r="T12" s="122">
        <v>1.4745600000000005</v>
      </c>
      <c r="U12" s="37">
        <v>0.5</v>
      </c>
      <c r="V12" s="37">
        <v>0.5</v>
      </c>
      <c r="W12" s="122">
        <f t="shared" si="4"/>
        <v>8.3745600000000007</v>
      </c>
      <c r="X12" s="124">
        <f t="shared" si="5"/>
        <v>21.6</v>
      </c>
      <c r="Y12" s="124">
        <f t="shared" si="1"/>
        <v>25.6</v>
      </c>
      <c r="Z12" s="124">
        <f t="shared" si="1"/>
        <v>11.796480000000004</v>
      </c>
      <c r="AA12" s="124">
        <f t="shared" si="1"/>
        <v>4</v>
      </c>
      <c r="AB12" s="122"/>
      <c r="AC12" s="122"/>
      <c r="AD12" s="122"/>
      <c r="AE12" s="124">
        <f t="shared" si="6"/>
        <v>66.996480000000005</v>
      </c>
      <c r="AF12" s="124">
        <f t="shared" si="2"/>
        <v>0</v>
      </c>
      <c r="AG12" s="124">
        <f t="shared" si="2"/>
        <v>0</v>
      </c>
      <c r="AH12" s="124">
        <f t="shared" si="2"/>
        <v>0</v>
      </c>
      <c r="AI12" s="124">
        <f t="shared" si="2"/>
        <v>0</v>
      </c>
      <c r="AJ12" s="124">
        <f t="shared" si="2"/>
        <v>0</v>
      </c>
      <c r="AK12" s="124">
        <f t="shared" si="7"/>
        <v>66.996480000000005</v>
      </c>
    </row>
    <row r="13" spans="1:37" x14ac:dyDescent="0.3">
      <c r="A13" s="37">
        <f t="shared" si="8"/>
        <v>4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6" t="s">
        <v>106</v>
      </c>
      <c r="H13" s="36" t="s">
        <v>113</v>
      </c>
      <c r="I13" s="37">
        <v>4</v>
      </c>
      <c r="J13" s="37">
        <v>4</v>
      </c>
      <c r="K13" s="37" t="s">
        <v>103</v>
      </c>
      <c r="L13" s="36" t="s">
        <v>108</v>
      </c>
      <c r="M13" s="37" t="s">
        <v>109</v>
      </c>
      <c r="N13" s="36" t="s">
        <v>94</v>
      </c>
      <c r="O13" s="37" t="s">
        <v>89</v>
      </c>
      <c r="P13" s="37">
        <v>4</v>
      </c>
      <c r="Q13" s="37">
        <v>1</v>
      </c>
      <c r="R13" s="37">
        <v>2.7</v>
      </c>
      <c r="S13" s="37">
        <v>3.2</v>
      </c>
      <c r="T13" s="122">
        <v>1.4745600000000005</v>
      </c>
      <c r="U13" s="37">
        <v>0.5</v>
      </c>
      <c r="V13" s="37">
        <v>0.5</v>
      </c>
      <c r="W13" s="122">
        <f t="shared" si="4"/>
        <v>8.3745600000000007</v>
      </c>
      <c r="X13" s="124">
        <f t="shared" si="5"/>
        <v>10.8</v>
      </c>
      <c r="Y13" s="124">
        <f t="shared" si="1"/>
        <v>12.8</v>
      </c>
      <c r="Z13" s="124">
        <f t="shared" si="1"/>
        <v>5.8982400000000021</v>
      </c>
      <c r="AA13" s="124">
        <f t="shared" si="1"/>
        <v>2</v>
      </c>
      <c r="AB13" s="122"/>
      <c r="AC13" s="122"/>
      <c r="AD13" s="122"/>
      <c r="AE13" s="124">
        <f t="shared" si="6"/>
        <v>33.498240000000003</v>
      </c>
      <c r="AF13" s="124">
        <f t="shared" si="2"/>
        <v>0</v>
      </c>
      <c r="AG13" s="124">
        <f t="shared" si="2"/>
        <v>0</v>
      </c>
      <c r="AH13" s="124">
        <f t="shared" si="2"/>
        <v>0</v>
      </c>
      <c r="AI13" s="124">
        <f t="shared" si="2"/>
        <v>0</v>
      </c>
      <c r="AJ13" s="124">
        <f t="shared" si="2"/>
        <v>0</v>
      </c>
      <c r="AK13" s="124">
        <f t="shared" si="7"/>
        <v>33.498240000000003</v>
      </c>
    </row>
    <row r="14" spans="1:37" x14ac:dyDescent="0.3">
      <c r="A14" s="16">
        <v>113</v>
      </c>
      <c r="B14" s="16">
        <v>113</v>
      </c>
      <c r="C14" s="16">
        <v>113</v>
      </c>
      <c r="D14" s="16">
        <v>113</v>
      </c>
      <c r="E14" s="16">
        <v>113</v>
      </c>
      <c r="F14" s="16">
        <v>113</v>
      </c>
      <c r="G14" s="1" t="s">
        <v>106</v>
      </c>
      <c r="H14" s="1" t="s">
        <v>114</v>
      </c>
      <c r="I14" s="16">
        <v>676</v>
      </c>
      <c r="J14" s="16">
        <f>(I14-4)/6</f>
        <v>112</v>
      </c>
      <c r="K14" s="16" t="s">
        <v>103</v>
      </c>
      <c r="L14" s="1" t="s">
        <v>115</v>
      </c>
      <c r="N14" s="1" t="s">
        <v>116</v>
      </c>
      <c r="O14" s="16" t="s">
        <v>89</v>
      </c>
      <c r="P14" s="16">
        <v>113</v>
      </c>
      <c r="Q14" s="16">
        <v>6</v>
      </c>
      <c r="R14" s="16">
        <v>0.9</v>
      </c>
      <c r="S14" s="16">
        <v>2.4000000000000004</v>
      </c>
      <c r="T14" s="121">
        <v>1.8432000000000004</v>
      </c>
      <c r="U14" s="16">
        <v>0.5</v>
      </c>
      <c r="V14" s="16">
        <v>0.5</v>
      </c>
      <c r="W14" s="121">
        <f t="shared" si="4"/>
        <v>6.1432000000000002</v>
      </c>
      <c r="X14" s="120">
        <f t="shared" si="5"/>
        <v>608.4</v>
      </c>
      <c r="Y14" s="120">
        <f t="shared" si="1"/>
        <v>1622.4000000000003</v>
      </c>
      <c r="Z14" s="120">
        <f t="shared" si="1"/>
        <v>1246.0032000000003</v>
      </c>
      <c r="AA14" s="120">
        <f t="shared" si="1"/>
        <v>338</v>
      </c>
      <c r="AB14" s="121"/>
      <c r="AC14" s="121"/>
      <c r="AD14" s="121"/>
      <c r="AE14" s="120">
        <f t="shared" si="6"/>
        <v>694.1816</v>
      </c>
      <c r="AF14" s="120">
        <f t="shared" si="2"/>
        <v>694.1816</v>
      </c>
      <c r="AG14" s="120">
        <f t="shared" si="2"/>
        <v>694.1816</v>
      </c>
      <c r="AH14" s="120">
        <f t="shared" si="2"/>
        <v>694.1816</v>
      </c>
      <c r="AI14" s="120">
        <f t="shared" si="2"/>
        <v>694.1816</v>
      </c>
      <c r="AJ14" s="120">
        <f t="shared" si="2"/>
        <v>694.1816</v>
      </c>
      <c r="AK14" s="120">
        <f t="shared" si="7"/>
        <v>4165.0896000000002</v>
      </c>
    </row>
    <row r="15" spans="1:37" x14ac:dyDescent="0.3">
      <c r="A15" s="16">
        <v>11</v>
      </c>
      <c r="B15" s="16">
        <v>11</v>
      </c>
      <c r="C15" s="16">
        <v>11</v>
      </c>
      <c r="D15" s="16">
        <v>11</v>
      </c>
      <c r="E15" s="16">
        <v>11</v>
      </c>
      <c r="F15" s="16">
        <v>11</v>
      </c>
      <c r="G15" s="1" t="s">
        <v>106</v>
      </c>
      <c r="H15" s="1" t="s">
        <v>117</v>
      </c>
      <c r="I15" s="16">
        <v>64</v>
      </c>
      <c r="J15" s="16">
        <f t="shared" ref="J15:J16" si="9">(I15-4)/6</f>
        <v>10</v>
      </c>
      <c r="K15" s="16" t="s">
        <v>103</v>
      </c>
      <c r="L15" s="1" t="s">
        <v>118</v>
      </c>
      <c r="N15" s="1" t="s">
        <v>119</v>
      </c>
      <c r="O15" s="16" t="s">
        <v>89</v>
      </c>
      <c r="P15" s="16">
        <v>11</v>
      </c>
      <c r="Q15" s="16">
        <v>6</v>
      </c>
      <c r="R15" s="16">
        <v>1.35</v>
      </c>
      <c r="S15" s="16">
        <v>2.4000000000000004</v>
      </c>
      <c r="T15" s="121">
        <v>0.73728000000000027</v>
      </c>
      <c r="U15" s="16">
        <v>0.5</v>
      </c>
      <c r="V15" s="16">
        <v>0.5</v>
      </c>
      <c r="W15" s="121">
        <f t="shared" si="4"/>
        <v>5.487280000000001</v>
      </c>
      <c r="X15" s="120">
        <f t="shared" si="5"/>
        <v>86.4</v>
      </c>
      <c r="Y15" s="120">
        <f t="shared" si="1"/>
        <v>153.60000000000002</v>
      </c>
      <c r="Z15" s="120">
        <f t="shared" si="1"/>
        <v>47.185920000000017</v>
      </c>
      <c r="AA15" s="120">
        <f t="shared" si="1"/>
        <v>32</v>
      </c>
      <c r="AB15" s="121"/>
      <c r="AC15" s="121"/>
      <c r="AD15" s="121"/>
      <c r="AE15" s="120">
        <f t="shared" si="6"/>
        <v>60.360080000000011</v>
      </c>
      <c r="AF15" s="120">
        <f t="shared" si="2"/>
        <v>60.360080000000011</v>
      </c>
      <c r="AG15" s="120">
        <f t="shared" si="2"/>
        <v>60.360080000000011</v>
      </c>
      <c r="AH15" s="120">
        <f t="shared" si="2"/>
        <v>60.360080000000011</v>
      </c>
      <c r="AI15" s="120">
        <f t="shared" si="2"/>
        <v>60.360080000000011</v>
      </c>
      <c r="AJ15" s="120">
        <f t="shared" si="2"/>
        <v>60.360080000000011</v>
      </c>
      <c r="AK15" s="120">
        <f t="shared" si="7"/>
        <v>362.16048000000012</v>
      </c>
    </row>
    <row r="16" spans="1:37" x14ac:dyDescent="0.3">
      <c r="A16" s="16">
        <v>351</v>
      </c>
      <c r="B16" s="16">
        <v>351</v>
      </c>
      <c r="C16" s="16">
        <v>351</v>
      </c>
      <c r="D16" s="16">
        <v>351</v>
      </c>
      <c r="E16" s="16">
        <v>351</v>
      </c>
      <c r="F16" s="16">
        <v>351</v>
      </c>
      <c r="G16" s="1" t="s">
        <v>106</v>
      </c>
      <c r="H16" s="1" t="s">
        <v>120</v>
      </c>
      <c r="I16" s="16">
        <v>2104</v>
      </c>
      <c r="J16" s="16">
        <f t="shared" si="9"/>
        <v>350</v>
      </c>
      <c r="K16" s="16" t="s">
        <v>103</v>
      </c>
      <c r="L16" s="1" t="s">
        <v>121</v>
      </c>
      <c r="N16" s="1" t="s">
        <v>116</v>
      </c>
      <c r="O16" s="16" t="s">
        <v>89</v>
      </c>
      <c r="P16" s="16">
        <v>351</v>
      </c>
      <c r="Q16" s="16">
        <v>6</v>
      </c>
      <c r="R16" s="16">
        <v>1.35</v>
      </c>
      <c r="S16" s="16">
        <v>0.8</v>
      </c>
      <c r="T16" s="121">
        <v>0.36864000000000013</v>
      </c>
      <c r="U16" s="16">
        <v>0.5</v>
      </c>
      <c r="V16" s="16">
        <v>0.5</v>
      </c>
      <c r="W16" s="121">
        <f t="shared" si="4"/>
        <v>3.5186400000000004</v>
      </c>
      <c r="X16" s="120">
        <f t="shared" si="5"/>
        <v>2840.4</v>
      </c>
      <c r="Y16" s="120">
        <f t="shared" si="1"/>
        <v>1683.2</v>
      </c>
      <c r="Z16" s="120">
        <f t="shared" si="1"/>
        <v>775.61856000000023</v>
      </c>
      <c r="AA16" s="120">
        <f t="shared" si="1"/>
        <v>1052</v>
      </c>
      <c r="AB16" s="121"/>
      <c r="AC16" s="121"/>
      <c r="AD16" s="121"/>
      <c r="AE16" s="120">
        <f t="shared" si="6"/>
        <v>1235.0426400000001</v>
      </c>
      <c r="AF16" s="120">
        <f t="shared" si="2"/>
        <v>1235.0426400000001</v>
      </c>
      <c r="AG16" s="120">
        <f t="shared" si="2"/>
        <v>1235.0426400000001</v>
      </c>
      <c r="AH16" s="120">
        <f t="shared" si="2"/>
        <v>1235.0426400000001</v>
      </c>
      <c r="AI16" s="120">
        <f t="shared" si="2"/>
        <v>1235.0426400000001</v>
      </c>
      <c r="AJ16" s="120">
        <f t="shared" si="2"/>
        <v>1235.0426400000001</v>
      </c>
      <c r="AK16" s="120">
        <f t="shared" si="7"/>
        <v>7410.2558399999998</v>
      </c>
    </row>
    <row r="17" spans="1:37" x14ac:dyDescent="0.3">
      <c r="A17" s="127"/>
      <c r="B17" s="127"/>
      <c r="C17" s="127"/>
      <c r="D17" s="127"/>
      <c r="E17" s="127"/>
      <c r="F17" s="127"/>
      <c r="G17" s="128" t="s">
        <v>122</v>
      </c>
      <c r="H17" s="128" t="s">
        <v>123</v>
      </c>
      <c r="I17" s="127">
        <v>41</v>
      </c>
      <c r="J17" s="127">
        <f>(I17-5)/6</f>
        <v>6</v>
      </c>
      <c r="K17" s="127" t="s">
        <v>103</v>
      </c>
      <c r="L17" s="128" t="s">
        <v>124</v>
      </c>
      <c r="M17" s="127"/>
      <c r="N17" s="128" t="s">
        <v>125</v>
      </c>
      <c r="O17" s="127" t="s">
        <v>89</v>
      </c>
      <c r="P17" s="127">
        <v>7</v>
      </c>
      <c r="Q17" s="127">
        <v>6</v>
      </c>
      <c r="R17" s="127">
        <v>1.8</v>
      </c>
      <c r="S17" s="127">
        <v>1.6</v>
      </c>
      <c r="T17" s="129">
        <v>0.73728000000000027</v>
      </c>
      <c r="U17" s="127">
        <v>0.5</v>
      </c>
      <c r="V17" s="127">
        <v>0.5</v>
      </c>
      <c r="W17" s="129">
        <f t="shared" si="4"/>
        <v>5.1372800000000005</v>
      </c>
      <c r="X17" s="130">
        <f t="shared" si="5"/>
        <v>73.8</v>
      </c>
      <c r="Y17" s="130">
        <f t="shared" si="1"/>
        <v>65.600000000000009</v>
      </c>
      <c r="Z17" s="130">
        <f t="shared" si="1"/>
        <v>30.228480000000012</v>
      </c>
      <c r="AA17" s="130">
        <f t="shared" si="1"/>
        <v>20.5</v>
      </c>
      <c r="AB17" s="129"/>
      <c r="AC17" s="129"/>
      <c r="AD17" s="129"/>
      <c r="AE17" s="130">
        <f t="shared" si="6"/>
        <v>0</v>
      </c>
      <c r="AF17" s="130">
        <f t="shared" si="2"/>
        <v>0</v>
      </c>
      <c r="AG17" s="130">
        <f t="shared" si="2"/>
        <v>0</v>
      </c>
      <c r="AH17" s="130">
        <f t="shared" si="2"/>
        <v>0</v>
      </c>
      <c r="AI17" s="130">
        <f t="shared" si="2"/>
        <v>0</v>
      </c>
      <c r="AJ17" s="130">
        <f t="shared" si="2"/>
        <v>0</v>
      </c>
      <c r="AK17" s="130">
        <f t="shared" si="7"/>
        <v>0</v>
      </c>
    </row>
    <row r="18" spans="1:37" x14ac:dyDescent="0.3">
      <c r="A18" s="127"/>
      <c r="B18" s="127"/>
      <c r="C18" s="127"/>
      <c r="D18" s="127"/>
      <c r="E18" s="127"/>
      <c r="F18" s="127"/>
      <c r="G18" s="128" t="s">
        <v>122</v>
      </c>
      <c r="H18" s="128" t="s">
        <v>126</v>
      </c>
      <c r="I18" s="127">
        <v>576</v>
      </c>
      <c r="J18" s="127">
        <f t="shared" si="3"/>
        <v>96</v>
      </c>
      <c r="K18" s="127" t="s">
        <v>103</v>
      </c>
      <c r="L18" s="128" t="s">
        <v>127</v>
      </c>
      <c r="M18" s="127" t="s">
        <v>109</v>
      </c>
      <c r="N18" s="128" t="s">
        <v>125</v>
      </c>
      <c r="O18" s="127" t="s">
        <v>89</v>
      </c>
      <c r="P18" s="127">
        <v>96</v>
      </c>
      <c r="Q18" s="127">
        <v>6</v>
      </c>
      <c r="R18" s="127">
        <v>0.9</v>
      </c>
      <c r="S18" s="127">
        <v>1.6</v>
      </c>
      <c r="T18" s="129">
        <v>1.1059200000000005</v>
      </c>
      <c r="U18" s="127">
        <v>0.5</v>
      </c>
      <c r="V18" s="127">
        <v>0.5</v>
      </c>
      <c r="W18" s="129">
        <f t="shared" si="4"/>
        <v>4.6059200000000002</v>
      </c>
      <c r="X18" s="130">
        <f t="shared" si="5"/>
        <v>518.4</v>
      </c>
      <c r="Y18" s="130">
        <f t="shared" ref="Y18:Y31" si="10">S18*$I18</f>
        <v>921.6</v>
      </c>
      <c r="Z18" s="130">
        <f t="shared" ref="Z18:Z31" si="11">T18*$I18</f>
        <v>637.00992000000031</v>
      </c>
      <c r="AA18" s="130">
        <f t="shared" ref="AA18:AA31" si="12">U18*$I18</f>
        <v>288</v>
      </c>
      <c r="AB18" s="129"/>
      <c r="AC18" s="129"/>
      <c r="AD18" s="129"/>
      <c r="AE18" s="130">
        <f t="shared" si="6"/>
        <v>0</v>
      </c>
      <c r="AF18" s="130">
        <f t="shared" ref="AF18:AF31" si="13">$W18*B18</f>
        <v>0</v>
      </c>
      <c r="AG18" s="130">
        <f t="shared" ref="AG18:AG31" si="14">$W18*C18</f>
        <v>0</v>
      </c>
      <c r="AH18" s="130">
        <f t="shared" ref="AH18:AH31" si="15">$W18*D18</f>
        <v>0</v>
      </c>
      <c r="AI18" s="130">
        <f t="shared" ref="AI18:AI31" si="16">$W18*E18</f>
        <v>0</v>
      </c>
      <c r="AJ18" s="130">
        <f t="shared" ref="AJ18:AJ31" si="17">$W18*F18</f>
        <v>0</v>
      </c>
      <c r="AK18" s="130">
        <f t="shared" si="7"/>
        <v>0</v>
      </c>
    </row>
    <row r="19" spans="1:37" x14ac:dyDescent="0.3">
      <c r="A19" s="127"/>
      <c r="B19" s="127"/>
      <c r="C19" s="127"/>
      <c r="D19" s="127"/>
      <c r="E19" s="127"/>
      <c r="F19" s="127"/>
      <c r="G19" s="128" t="s">
        <v>122</v>
      </c>
      <c r="H19" s="128" t="s">
        <v>128</v>
      </c>
      <c r="I19" s="127">
        <v>328</v>
      </c>
      <c r="J19" s="127">
        <f>(I19-4)/6</f>
        <v>54</v>
      </c>
      <c r="K19" s="127" t="s">
        <v>103</v>
      </c>
      <c r="L19" s="128" t="s">
        <v>129</v>
      </c>
      <c r="M19" s="127" t="s">
        <v>109</v>
      </c>
      <c r="N19" s="128" t="s">
        <v>125</v>
      </c>
      <c r="O19" s="127" t="s">
        <v>89</v>
      </c>
      <c r="P19" s="127">
        <v>55</v>
      </c>
      <c r="Q19" s="127">
        <v>6</v>
      </c>
      <c r="R19" s="127">
        <v>1.35</v>
      </c>
      <c r="S19" s="127">
        <v>1.6</v>
      </c>
      <c r="T19" s="129">
        <v>1.1059200000000005</v>
      </c>
      <c r="U19" s="127">
        <v>0.5</v>
      </c>
      <c r="V19" s="127">
        <v>0.5</v>
      </c>
      <c r="W19" s="129">
        <f t="shared" si="4"/>
        <v>5.0559200000000004</v>
      </c>
      <c r="X19" s="130">
        <f t="shared" si="5"/>
        <v>442.8</v>
      </c>
      <c r="Y19" s="130">
        <f t="shared" si="10"/>
        <v>524.80000000000007</v>
      </c>
      <c r="Z19" s="130">
        <f t="shared" si="11"/>
        <v>362.74176000000017</v>
      </c>
      <c r="AA19" s="130">
        <f t="shared" si="12"/>
        <v>164</v>
      </c>
      <c r="AB19" s="129"/>
      <c r="AC19" s="129"/>
      <c r="AD19" s="129"/>
      <c r="AE19" s="130">
        <f t="shared" si="6"/>
        <v>0</v>
      </c>
      <c r="AF19" s="130">
        <f t="shared" si="13"/>
        <v>0</v>
      </c>
      <c r="AG19" s="130">
        <f t="shared" si="14"/>
        <v>0</v>
      </c>
      <c r="AH19" s="130">
        <f t="shared" si="15"/>
        <v>0</v>
      </c>
      <c r="AI19" s="130">
        <f t="shared" si="16"/>
        <v>0</v>
      </c>
      <c r="AJ19" s="130">
        <f t="shared" si="17"/>
        <v>0</v>
      </c>
      <c r="AK19" s="130">
        <f t="shared" si="7"/>
        <v>0</v>
      </c>
    </row>
    <row r="20" spans="1:37" x14ac:dyDescent="0.3">
      <c r="A20" s="127"/>
      <c r="B20" s="127"/>
      <c r="C20" s="127"/>
      <c r="D20" s="127"/>
      <c r="E20" s="127"/>
      <c r="F20" s="127"/>
      <c r="G20" s="128" t="s">
        <v>122</v>
      </c>
      <c r="H20" s="128" t="s">
        <v>130</v>
      </c>
      <c r="I20" s="127">
        <v>190</v>
      </c>
      <c r="J20" s="127">
        <f>(I20-4)/6</f>
        <v>31</v>
      </c>
      <c r="K20" s="127" t="s">
        <v>103</v>
      </c>
      <c r="L20" s="128" t="s">
        <v>131</v>
      </c>
      <c r="M20" s="127"/>
      <c r="N20" s="128" t="s">
        <v>125</v>
      </c>
      <c r="O20" s="127" t="s">
        <v>89</v>
      </c>
      <c r="P20" s="127">
        <v>32</v>
      </c>
      <c r="Q20" s="127">
        <v>6</v>
      </c>
      <c r="R20" s="127">
        <v>0.9</v>
      </c>
      <c r="S20" s="127">
        <v>2.4000000000000004</v>
      </c>
      <c r="T20" s="129">
        <v>1.4745600000000005</v>
      </c>
      <c r="U20" s="127">
        <v>0.5</v>
      </c>
      <c r="V20" s="127">
        <v>0.5</v>
      </c>
      <c r="W20" s="129">
        <f t="shared" si="4"/>
        <v>5.774560000000001</v>
      </c>
      <c r="X20" s="130">
        <f t="shared" si="5"/>
        <v>171</v>
      </c>
      <c r="Y20" s="130">
        <f t="shared" si="10"/>
        <v>456.00000000000006</v>
      </c>
      <c r="Z20" s="130">
        <f t="shared" si="11"/>
        <v>280.16640000000012</v>
      </c>
      <c r="AA20" s="130">
        <f t="shared" si="12"/>
        <v>95</v>
      </c>
      <c r="AB20" s="129"/>
      <c r="AC20" s="129"/>
      <c r="AD20" s="129"/>
      <c r="AE20" s="130">
        <f t="shared" si="6"/>
        <v>0</v>
      </c>
      <c r="AF20" s="130">
        <f t="shared" si="13"/>
        <v>0</v>
      </c>
      <c r="AG20" s="130">
        <f t="shared" si="14"/>
        <v>0</v>
      </c>
      <c r="AH20" s="130">
        <f t="shared" si="15"/>
        <v>0</v>
      </c>
      <c r="AI20" s="130">
        <f t="shared" si="16"/>
        <v>0</v>
      </c>
      <c r="AJ20" s="130">
        <f t="shared" si="17"/>
        <v>0</v>
      </c>
      <c r="AK20" s="130">
        <f t="shared" si="7"/>
        <v>0</v>
      </c>
    </row>
    <row r="21" spans="1:37" x14ac:dyDescent="0.3">
      <c r="A21" s="127"/>
      <c r="B21" s="127"/>
      <c r="C21" s="127"/>
      <c r="D21" s="127"/>
      <c r="E21" s="127"/>
      <c r="F21" s="127"/>
      <c r="G21" s="128" t="s">
        <v>122</v>
      </c>
      <c r="H21" s="128" t="s">
        <v>132</v>
      </c>
      <c r="I21" s="127">
        <v>214</v>
      </c>
      <c r="J21" s="127">
        <f>(I21-4)/6</f>
        <v>35</v>
      </c>
      <c r="K21" s="127" t="s">
        <v>103</v>
      </c>
      <c r="L21" s="128" t="s">
        <v>118</v>
      </c>
      <c r="M21" s="127"/>
      <c r="N21" s="128" t="s">
        <v>125</v>
      </c>
      <c r="O21" s="127" t="s">
        <v>89</v>
      </c>
      <c r="P21" s="127">
        <v>36</v>
      </c>
      <c r="Q21" s="127">
        <v>6</v>
      </c>
      <c r="R21" s="127">
        <v>1.35</v>
      </c>
      <c r="S21" s="127">
        <v>2.4000000000000004</v>
      </c>
      <c r="T21" s="129">
        <v>1.1059200000000005</v>
      </c>
      <c r="U21" s="127">
        <v>0.5</v>
      </c>
      <c r="V21" s="127">
        <v>0.5</v>
      </c>
      <c r="W21" s="129">
        <f t="shared" si="4"/>
        <v>5.8559200000000011</v>
      </c>
      <c r="X21" s="130">
        <f t="shared" si="5"/>
        <v>288.90000000000003</v>
      </c>
      <c r="Y21" s="130">
        <f t="shared" si="10"/>
        <v>513.6</v>
      </c>
      <c r="Z21" s="130">
        <f t="shared" si="11"/>
        <v>236.66688000000011</v>
      </c>
      <c r="AA21" s="130">
        <f t="shared" si="12"/>
        <v>107</v>
      </c>
      <c r="AB21" s="129"/>
      <c r="AC21" s="129"/>
      <c r="AD21" s="129"/>
      <c r="AE21" s="130">
        <f t="shared" si="6"/>
        <v>0</v>
      </c>
      <c r="AF21" s="130">
        <f t="shared" si="13"/>
        <v>0</v>
      </c>
      <c r="AG21" s="130">
        <f t="shared" si="14"/>
        <v>0</v>
      </c>
      <c r="AH21" s="130">
        <f t="shared" si="15"/>
        <v>0</v>
      </c>
      <c r="AI21" s="130">
        <f t="shared" si="16"/>
        <v>0</v>
      </c>
      <c r="AJ21" s="130">
        <f t="shared" si="17"/>
        <v>0</v>
      </c>
      <c r="AK21" s="130">
        <f t="shared" si="7"/>
        <v>0</v>
      </c>
    </row>
    <row r="22" spans="1:37" x14ac:dyDescent="0.3">
      <c r="A22" s="39">
        <f t="shared" ref="A22:F23" si="18">$J22</f>
        <v>10</v>
      </c>
      <c r="B22" s="39">
        <f t="shared" si="18"/>
        <v>10</v>
      </c>
      <c r="C22" s="39">
        <f t="shared" si="18"/>
        <v>10</v>
      </c>
      <c r="D22" s="39">
        <f t="shared" si="18"/>
        <v>10</v>
      </c>
      <c r="E22" s="39">
        <f t="shared" si="18"/>
        <v>10</v>
      </c>
      <c r="F22" s="39">
        <f t="shared" si="18"/>
        <v>10</v>
      </c>
      <c r="G22" s="38" t="s">
        <v>133</v>
      </c>
      <c r="H22" s="38" t="s">
        <v>123</v>
      </c>
      <c r="I22" s="39">
        <v>65</v>
      </c>
      <c r="J22" s="39">
        <f>(I22-5)/6</f>
        <v>10</v>
      </c>
      <c r="K22" s="39" t="s">
        <v>103</v>
      </c>
      <c r="L22" s="38" t="s">
        <v>124</v>
      </c>
      <c r="M22" s="39"/>
      <c r="N22" s="38" t="s">
        <v>134</v>
      </c>
      <c r="O22" s="39" t="s">
        <v>89</v>
      </c>
      <c r="P22" s="39">
        <v>11</v>
      </c>
      <c r="Q22" s="39">
        <v>6</v>
      </c>
      <c r="R22" s="39">
        <v>1.8</v>
      </c>
      <c r="S22" s="39">
        <v>3.2</v>
      </c>
      <c r="T22" s="123">
        <v>0.73728000000000027</v>
      </c>
      <c r="U22" s="39">
        <v>0.5</v>
      </c>
      <c r="V22" s="39">
        <v>0.5</v>
      </c>
      <c r="W22" s="123">
        <f t="shared" si="4"/>
        <v>6.7372800000000002</v>
      </c>
      <c r="X22" s="125">
        <f t="shared" si="5"/>
        <v>117</v>
      </c>
      <c r="Y22" s="125">
        <f t="shared" si="10"/>
        <v>208</v>
      </c>
      <c r="Z22" s="125">
        <f t="shared" si="11"/>
        <v>47.923200000000016</v>
      </c>
      <c r="AA22" s="125">
        <f t="shared" si="12"/>
        <v>32.5</v>
      </c>
      <c r="AB22" s="123"/>
      <c r="AC22" s="123"/>
      <c r="AD22" s="123"/>
      <c r="AE22" s="125">
        <f t="shared" si="6"/>
        <v>67.372799999999998</v>
      </c>
      <c r="AF22" s="125">
        <f t="shared" si="13"/>
        <v>67.372799999999998</v>
      </c>
      <c r="AG22" s="125">
        <f t="shared" si="14"/>
        <v>67.372799999999998</v>
      </c>
      <c r="AH22" s="125">
        <f t="shared" si="15"/>
        <v>67.372799999999998</v>
      </c>
      <c r="AI22" s="125">
        <f t="shared" si="16"/>
        <v>67.372799999999998</v>
      </c>
      <c r="AJ22" s="125">
        <f t="shared" si="17"/>
        <v>67.372799999999998</v>
      </c>
      <c r="AK22" s="125">
        <f t="shared" si="7"/>
        <v>404.23679999999996</v>
      </c>
    </row>
    <row r="23" spans="1:37" x14ac:dyDescent="0.3">
      <c r="A23" s="39">
        <f t="shared" si="18"/>
        <v>160</v>
      </c>
      <c r="B23" s="39">
        <f t="shared" si="18"/>
        <v>160</v>
      </c>
      <c r="C23" s="39">
        <f t="shared" si="18"/>
        <v>160</v>
      </c>
      <c r="D23" s="39">
        <f t="shared" si="18"/>
        <v>160</v>
      </c>
      <c r="E23" s="39">
        <f t="shared" si="18"/>
        <v>160</v>
      </c>
      <c r="F23" s="39">
        <f t="shared" si="18"/>
        <v>160</v>
      </c>
      <c r="G23" s="38" t="s">
        <v>133</v>
      </c>
      <c r="H23" s="38" t="s">
        <v>126</v>
      </c>
      <c r="I23" s="39">
        <v>960</v>
      </c>
      <c r="J23" s="39">
        <f t="shared" si="3"/>
        <v>160</v>
      </c>
      <c r="K23" s="39" t="s">
        <v>103</v>
      </c>
      <c r="L23" s="38" t="s">
        <v>127</v>
      </c>
      <c r="M23" s="39" t="s">
        <v>109</v>
      </c>
      <c r="N23" s="38" t="s">
        <v>134</v>
      </c>
      <c r="O23" s="39" t="s">
        <v>89</v>
      </c>
      <c r="P23" s="39">
        <v>160</v>
      </c>
      <c r="Q23" s="39">
        <v>6</v>
      </c>
      <c r="R23" s="39">
        <v>0.9</v>
      </c>
      <c r="S23" s="39">
        <v>1.6</v>
      </c>
      <c r="T23" s="123">
        <v>1.1059200000000005</v>
      </c>
      <c r="U23" s="39">
        <v>0.5</v>
      </c>
      <c r="V23" s="39">
        <v>0.5</v>
      </c>
      <c r="W23" s="123">
        <f t="shared" si="4"/>
        <v>4.6059200000000002</v>
      </c>
      <c r="X23" s="125">
        <f t="shared" si="5"/>
        <v>864</v>
      </c>
      <c r="Y23" s="125">
        <f t="shared" si="10"/>
        <v>1536</v>
      </c>
      <c r="Z23" s="125">
        <f t="shared" si="11"/>
        <v>1061.6832000000004</v>
      </c>
      <c r="AA23" s="125">
        <f t="shared" si="12"/>
        <v>480</v>
      </c>
      <c r="AB23" s="123"/>
      <c r="AC23" s="123"/>
      <c r="AD23" s="123"/>
      <c r="AE23" s="125">
        <f t="shared" si="6"/>
        <v>736.94720000000007</v>
      </c>
      <c r="AF23" s="125">
        <f t="shared" si="13"/>
        <v>736.94720000000007</v>
      </c>
      <c r="AG23" s="125">
        <f t="shared" si="14"/>
        <v>736.94720000000007</v>
      </c>
      <c r="AH23" s="125">
        <f t="shared" si="15"/>
        <v>736.94720000000007</v>
      </c>
      <c r="AI23" s="125">
        <f t="shared" si="16"/>
        <v>736.94720000000007</v>
      </c>
      <c r="AJ23" s="125">
        <f t="shared" si="17"/>
        <v>736.94720000000007</v>
      </c>
      <c r="AK23" s="125">
        <f t="shared" si="7"/>
        <v>4421.6832000000004</v>
      </c>
    </row>
    <row r="24" spans="1:37" x14ac:dyDescent="0.3">
      <c r="A24" s="39">
        <v>7</v>
      </c>
      <c r="B24" s="39">
        <v>7</v>
      </c>
      <c r="C24" s="39">
        <v>7</v>
      </c>
      <c r="D24" s="39">
        <v>7</v>
      </c>
      <c r="E24" s="39">
        <v>7</v>
      </c>
      <c r="F24" s="39">
        <v>7</v>
      </c>
      <c r="G24" s="38" t="s">
        <v>133</v>
      </c>
      <c r="H24" s="38" t="s">
        <v>128</v>
      </c>
      <c r="I24" s="39">
        <v>40</v>
      </c>
      <c r="J24" s="39">
        <f>(I24-4)/6</f>
        <v>6</v>
      </c>
      <c r="K24" s="39" t="s">
        <v>103</v>
      </c>
      <c r="L24" s="38" t="s">
        <v>129</v>
      </c>
      <c r="M24" s="39" t="s">
        <v>109</v>
      </c>
      <c r="N24" s="38" t="s">
        <v>134</v>
      </c>
      <c r="O24" s="39" t="s">
        <v>89</v>
      </c>
      <c r="P24" s="39">
        <v>7</v>
      </c>
      <c r="Q24" s="39">
        <v>6</v>
      </c>
      <c r="R24" s="39">
        <v>1.35</v>
      </c>
      <c r="S24" s="39">
        <v>1.6</v>
      </c>
      <c r="T24" s="123">
        <v>1.1059200000000005</v>
      </c>
      <c r="U24" s="39">
        <v>0.5</v>
      </c>
      <c r="V24" s="39">
        <v>0.5</v>
      </c>
      <c r="W24" s="123">
        <f t="shared" si="4"/>
        <v>5.0559200000000004</v>
      </c>
      <c r="X24" s="125">
        <f t="shared" si="5"/>
        <v>54</v>
      </c>
      <c r="Y24" s="125">
        <f t="shared" si="10"/>
        <v>64</v>
      </c>
      <c r="Z24" s="125">
        <f t="shared" si="11"/>
        <v>44.236800000000017</v>
      </c>
      <c r="AA24" s="125">
        <f t="shared" si="12"/>
        <v>20</v>
      </c>
      <c r="AB24" s="123"/>
      <c r="AC24" s="123"/>
      <c r="AD24" s="123"/>
      <c r="AE24" s="125">
        <f t="shared" si="6"/>
        <v>35.391440000000003</v>
      </c>
      <c r="AF24" s="125">
        <f t="shared" si="13"/>
        <v>35.391440000000003</v>
      </c>
      <c r="AG24" s="125">
        <f t="shared" si="14"/>
        <v>35.391440000000003</v>
      </c>
      <c r="AH24" s="125">
        <f t="shared" si="15"/>
        <v>35.391440000000003</v>
      </c>
      <c r="AI24" s="125">
        <f t="shared" si="16"/>
        <v>35.391440000000003</v>
      </c>
      <c r="AJ24" s="125">
        <f t="shared" si="17"/>
        <v>35.391440000000003</v>
      </c>
      <c r="AK24" s="125">
        <f t="shared" si="7"/>
        <v>212.34863999999999</v>
      </c>
    </row>
    <row r="25" spans="1:37" x14ac:dyDescent="0.3">
      <c r="A25" s="39">
        <v>32</v>
      </c>
      <c r="B25" s="39">
        <v>32</v>
      </c>
      <c r="C25" s="39">
        <v>32</v>
      </c>
      <c r="D25" s="39">
        <v>32</v>
      </c>
      <c r="E25" s="39">
        <v>32</v>
      </c>
      <c r="F25" s="39">
        <v>32</v>
      </c>
      <c r="G25" s="38" t="s">
        <v>133</v>
      </c>
      <c r="H25" s="38" t="s">
        <v>130</v>
      </c>
      <c r="I25" s="39">
        <v>190</v>
      </c>
      <c r="J25" s="39">
        <f>(I25-4)/6</f>
        <v>31</v>
      </c>
      <c r="K25" s="39" t="s">
        <v>103</v>
      </c>
      <c r="L25" s="38" t="s">
        <v>131</v>
      </c>
      <c r="M25" s="39"/>
      <c r="N25" s="38" t="s">
        <v>134</v>
      </c>
      <c r="O25" s="39" t="s">
        <v>89</v>
      </c>
      <c r="P25" s="39">
        <v>32</v>
      </c>
      <c r="Q25" s="39">
        <v>6</v>
      </c>
      <c r="R25" s="39">
        <v>0.9</v>
      </c>
      <c r="S25" s="39">
        <v>2.4000000000000004</v>
      </c>
      <c r="T25" s="123">
        <v>1.4745600000000005</v>
      </c>
      <c r="U25" s="39">
        <v>0.5</v>
      </c>
      <c r="V25" s="39">
        <v>0.5</v>
      </c>
      <c r="W25" s="123">
        <f t="shared" si="4"/>
        <v>5.774560000000001</v>
      </c>
      <c r="X25" s="125">
        <f t="shared" si="5"/>
        <v>171</v>
      </c>
      <c r="Y25" s="125">
        <f t="shared" si="10"/>
        <v>456.00000000000006</v>
      </c>
      <c r="Z25" s="125">
        <f t="shared" si="11"/>
        <v>280.16640000000012</v>
      </c>
      <c r="AA25" s="125">
        <f t="shared" si="12"/>
        <v>95</v>
      </c>
      <c r="AB25" s="123"/>
      <c r="AC25" s="123"/>
      <c r="AD25" s="123"/>
      <c r="AE25" s="125">
        <f t="shared" si="6"/>
        <v>184.78592000000003</v>
      </c>
      <c r="AF25" s="125">
        <f t="shared" si="13"/>
        <v>184.78592000000003</v>
      </c>
      <c r="AG25" s="125">
        <f t="shared" si="14"/>
        <v>184.78592000000003</v>
      </c>
      <c r="AH25" s="125">
        <f t="shared" si="15"/>
        <v>184.78592000000003</v>
      </c>
      <c r="AI25" s="125">
        <f t="shared" si="16"/>
        <v>184.78592000000003</v>
      </c>
      <c r="AJ25" s="125">
        <f t="shared" si="17"/>
        <v>184.78592000000003</v>
      </c>
      <c r="AK25" s="125">
        <f t="shared" si="7"/>
        <v>1108.7155200000002</v>
      </c>
    </row>
    <row r="26" spans="1:37" x14ac:dyDescent="0.3">
      <c r="A26" s="39">
        <v>36</v>
      </c>
      <c r="B26" s="39">
        <v>36</v>
      </c>
      <c r="C26" s="39">
        <v>36</v>
      </c>
      <c r="D26" s="39">
        <v>36</v>
      </c>
      <c r="E26" s="39">
        <v>36</v>
      </c>
      <c r="F26" s="39">
        <v>36</v>
      </c>
      <c r="G26" s="38" t="s">
        <v>133</v>
      </c>
      <c r="H26" s="38" t="s">
        <v>132</v>
      </c>
      <c r="I26" s="39">
        <v>214</v>
      </c>
      <c r="J26" s="39">
        <f>(I26-4)/6</f>
        <v>35</v>
      </c>
      <c r="K26" s="39" t="s">
        <v>103</v>
      </c>
      <c r="L26" s="38" t="s">
        <v>118</v>
      </c>
      <c r="M26" s="39"/>
      <c r="N26" s="38" t="s">
        <v>134</v>
      </c>
      <c r="O26" s="39" t="s">
        <v>89</v>
      </c>
      <c r="P26" s="39">
        <v>36</v>
      </c>
      <c r="Q26" s="39">
        <v>6</v>
      </c>
      <c r="R26" s="39">
        <v>1.35</v>
      </c>
      <c r="S26" s="39">
        <v>2.4000000000000004</v>
      </c>
      <c r="T26" s="123">
        <v>1.1059200000000005</v>
      </c>
      <c r="U26" s="39">
        <v>0.5</v>
      </c>
      <c r="V26" s="39">
        <v>0.5</v>
      </c>
      <c r="W26" s="123">
        <f t="shared" si="4"/>
        <v>5.8559200000000011</v>
      </c>
      <c r="X26" s="125">
        <f t="shared" si="5"/>
        <v>288.90000000000003</v>
      </c>
      <c r="Y26" s="125">
        <f t="shared" si="10"/>
        <v>513.6</v>
      </c>
      <c r="Z26" s="125">
        <f t="shared" si="11"/>
        <v>236.66688000000011</v>
      </c>
      <c r="AA26" s="125">
        <f t="shared" si="12"/>
        <v>107</v>
      </c>
      <c r="AB26" s="123"/>
      <c r="AC26" s="123"/>
      <c r="AD26" s="123"/>
      <c r="AE26" s="125">
        <f t="shared" si="6"/>
        <v>210.81312000000003</v>
      </c>
      <c r="AF26" s="125">
        <f t="shared" si="13"/>
        <v>210.81312000000003</v>
      </c>
      <c r="AG26" s="125">
        <f t="shared" si="14"/>
        <v>210.81312000000003</v>
      </c>
      <c r="AH26" s="125">
        <f t="shared" si="15"/>
        <v>210.81312000000003</v>
      </c>
      <c r="AI26" s="125">
        <f t="shared" si="16"/>
        <v>210.81312000000003</v>
      </c>
      <c r="AJ26" s="125">
        <f t="shared" si="17"/>
        <v>210.81312000000003</v>
      </c>
      <c r="AK26" s="125">
        <f t="shared" si="7"/>
        <v>1264.8787200000002</v>
      </c>
    </row>
    <row r="27" spans="1:37" x14ac:dyDescent="0.3">
      <c r="A27" s="127"/>
      <c r="B27" s="127"/>
      <c r="C27" s="127"/>
      <c r="D27" s="127"/>
      <c r="E27" s="127"/>
      <c r="F27" s="127"/>
      <c r="G27" s="128" t="s">
        <v>135</v>
      </c>
      <c r="H27" s="128" t="s">
        <v>123</v>
      </c>
      <c r="I27" s="127">
        <v>41</v>
      </c>
      <c r="J27" s="127">
        <f>(I27-5)/6</f>
        <v>6</v>
      </c>
      <c r="K27" s="127" t="s">
        <v>103</v>
      </c>
      <c r="L27" s="128" t="s">
        <v>124</v>
      </c>
      <c r="M27" s="127"/>
      <c r="N27" s="128" t="s">
        <v>136</v>
      </c>
      <c r="O27" s="127" t="s">
        <v>89</v>
      </c>
      <c r="P27" s="127">
        <v>7</v>
      </c>
      <c r="Q27" s="127">
        <v>6</v>
      </c>
      <c r="R27" s="127">
        <v>1.8</v>
      </c>
      <c r="S27" s="127">
        <v>3.2</v>
      </c>
      <c r="T27" s="129">
        <v>0.73728000000000027</v>
      </c>
      <c r="U27" s="127">
        <v>0.5</v>
      </c>
      <c r="V27" s="127">
        <v>0.5</v>
      </c>
      <c r="W27" s="129">
        <f t="shared" si="4"/>
        <v>6.7372800000000002</v>
      </c>
      <c r="X27" s="130">
        <f t="shared" si="5"/>
        <v>73.8</v>
      </c>
      <c r="Y27" s="130">
        <f t="shared" si="10"/>
        <v>131.20000000000002</v>
      </c>
      <c r="Z27" s="130">
        <f t="shared" si="11"/>
        <v>30.228480000000012</v>
      </c>
      <c r="AA27" s="130">
        <f t="shared" si="12"/>
        <v>20.5</v>
      </c>
      <c r="AB27" s="129"/>
      <c r="AC27" s="129"/>
      <c r="AD27" s="129"/>
      <c r="AE27" s="130">
        <f t="shared" si="6"/>
        <v>0</v>
      </c>
      <c r="AF27" s="130">
        <f t="shared" si="13"/>
        <v>0</v>
      </c>
      <c r="AG27" s="130">
        <f t="shared" si="14"/>
        <v>0</v>
      </c>
      <c r="AH27" s="130">
        <f t="shared" si="15"/>
        <v>0</v>
      </c>
      <c r="AI27" s="130">
        <f t="shared" si="16"/>
        <v>0</v>
      </c>
      <c r="AJ27" s="130">
        <f t="shared" si="17"/>
        <v>0</v>
      </c>
      <c r="AK27" s="130">
        <f t="shared" si="7"/>
        <v>0</v>
      </c>
    </row>
    <row r="28" spans="1:37" x14ac:dyDescent="0.3">
      <c r="A28" s="127"/>
      <c r="B28" s="127"/>
      <c r="C28" s="127"/>
      <c r="D28" s="127"/>
      <c r="E28" s="127"/>
      <c r="F28" s="127"/>
      <c r="G28" s="128" t="s">
        <v>135</v>
      </c>
      <c r="H28" s="128" t="s">
        <v>126</v>
      </c>
      <c r="I28" s="127">
        <v>576</v>
      </c>
      <c r="J28" s="127">
        <f t="shared" si="3"/>
        <v>96</v>
      </c>
      <c r="K28" s="127" t="s">
        <v>103</v>
      </c>
      <c r="L28" s="128" t="s">
        <v>127</v>
      </c>
      <c r="M28" s="127" t="s">
        <v>109</v>
      </c>
      <c r="N28" s="128" t="s">
        <v>136</v>
      </c>
      <c r="O28" s="127" t="s">
        <v>89</v>
      </c>
      <c r="P28" s="127">
        <v>96</v>
      </c>
      <c r="Q28" s="127">
        <v>6</v>
      </c>
      <c r="R28" s="127">
        <v>0.9</v>
      </c>
      <c r="S28" s="127">
        <v>1.6</v>
      </c>
      <c r="T28" s="129">
        <v>1.1059200000000005</v>
      </c>
      <c r="U28" s="127">
        <v>0.5</v>
      </c>
      <c r="V28" s="127">
        <v>0.5</v>
      </c>
      <c r="W28" s="129">
        <f t="shared" si="4"/>
        <v>4.6059200000000002</v>
      </c>
      <c r="X28" s="130">
        <f t="shared" si="5"/>
        <v>518.4</v>
      </c>
      <c r="Y28" s="130">
        <f t="shared" si="10"/>
        <v>921.6</v>
      </c>
      <c r="Z28" s="130">
        <f t="shared" si="11"/>
        <v>637.00992000000031</v>
      </c>
      <c r="AA28" s="130">
        <f t="shared" si="12"/>
        <v>288</v>
      </c>
      <c r="AB28" s="129"/>
      <c r="AC28" s="129"/>
      <c r="AD28" s="129"/>
      <c r="AE28" s="130">
        <f t="shared" si="6"/>
        <v>0</v>
      </c>
      <c r="AF28" s="130">
        <f t="shared" si="13"/>
        <v>0</v>
      </c>
      <c r="AG28" s="130">
        <f t="shared" si="14"/>
        <v>0</v>
      </c>
      <c r="AH28" s="130">
        <f t="shared" si="15"/>
        <v>0</v>
      </c>
      <c r="AI28" s="130">
        <f t="shared" si="16"/>
        <v>0</v>
      </c>
      <c r="AJ28" s="130">
        <f t="shared" si="17"/>
        <v>0</v>
      </c>
      <c r="AK28" s="130">
        <f t="shared" si="7"/>
        <v>0</v>
      </c>
    </row>
    <row r="29" spans="1:37" x14ac:dyDescent="0.3">
      <c r="A29" s="127"/>
      <c r="B29" s="127"/>
      <c r="C29" s="127"/>
      <c r="D29" s="127"/>
      <c r="E29" s="127"/>
      <c r="F29" s="127"/>
      <c r="G29" s="128" t="s">
        <v>135</v>
      </c>
      <c r="H29" s="128" t="s">
        <v>128</v>
      </c>
      <c r="I29" s="127">
        <v>40</v>
      </c>
      <c r="J29" s="127">
        <f>(I29-4)/6</f>
        <v>6</v>
      </c>
      <c r="K29" s="127" t="s">
        <v>103</v>
      </c>
      <c r="L29" s="128" t="s">
        <v>129</v>
      </c>
      <c r="M29" s="127" t="s">
        <v>109</v>
      </c>
      <c r="N29" s="128" t="s">
        <v>136</v>
      </c>
      <c r="O29" s="127" t="s">
        <v>89</v>
      </c>
      <c r="P29" s="127">
        <v>7</v>
      </c>
      <c r="Q29" s="127">
        <v>6</v>
      </c>
      <c r="R29" s="127">
        <v>1.35</v>
      </c>
      <c r="S29" s="127">
        <v>1.6</v>
      </c>
      <c r="T29" s="129">
        <v>1.1059200000000005</v>
      </c>
      <c r="U29" s="127">
        <v>0.5</v>
      </c>
      <c r="V29" s="127">
        <v>0.5</v>
      </c>
      <c r="W29" s="129">
        <f t="shared" si="4"/>
        <v>5.0559200000000004</v>
      </c>
      <c r="X29" s="130">
        <f t="shared" si="5"/>
        <v>54</v>
      </c>
      <c r="Y29" s="130">
        <f t="shared" si="10"/>
        <v>64</v>
      </c>
      <c r="Z29" s="130">
        <f t="shared" si="11"/>
        <v>44.236800000000017</v>
      </c>
      <c r="AA29" s="130">
        <f t="shared" si="12"/>
        <v>20</v>
      </c>
      <c r="AB29" s="129"/>
      <c r="AC29" s="129"/>
      <c r="AD29" s="129"/>
      <c r="AE29" s="130">
        <f t="shared" si="6"/>
        <v>0</v>
      </c>
      <c r="AF29" s="130">
        <f t="shared" si="13"/>
        <v>0</v>
      </c>
      <c r="AG29" s="130">
        <f t="shared" si="14"/>
        <v>0</v>
      </c>
      <c r="AH29" s="130">
        <f t="shared" si="15"/>
        <v>0</v>
      </c>
      <c r="AI29" s="130">
        <f t="shared" si="16"/>
        <v>0</v>
      </c>
      <c r="AJ29" s="130">
        <f t="shared" si="17"/>
        <v>0</v>
      </c>
      <c r="AK29" s="130">
        <f t="shared" si="7"/>
        <v>0</v>
      </c>
    </row>
    <row r="30" spans="1:37" x14ac:dyDescent="0.3">
      <c r="A30" s="127"/>
      <c r="B30" s="127"/>
      <c r="C30" s="127"/>
      <c r="D30" s="127"/>
      <c r="E30" s="127"/>
      <c r="F30" s="127"/>
      <c r="G30" s="128" t="s">
        <v>135</v>
      </c>
      <c r="H30" s="128" t="s">
        <v>130</v>
      </c>
      <c r="I30" s="127">
        <v>190</v>
      </c>
      <c r="J30" s="127">
        <f>(I30-4)/6</f>
        <v>31</v>
      </c>
      <c r="K30" s="127" t="s">
        <v>103</v>
      </c>
      <c r="L30" s="128" t="s">
        <v>131</v>
      </c>
      <c r="M30" s="127"/>
      <c r="N30" s="128" t="s">
        <v>136</v>
      </c>
      <c r="O30" s="127" t="s">
        <v>89</v>
      </c>
      <c r="P30" s="127">
        <v>32</v>
      </c>
      <c r="Q30" s="127">
        <v>6</v>
      </c>
      <c r="R30" s="127">
        <v>0.9</v>
      </c>
      <c r="S30" s="127">
        <v>2.4000000000000004</v>
      </c>
      <c r="T30" s="129">
        <v>1.4745600000000005</v>
      </c>
      <c r="U30" s="127">
        <v>0.5</v>
      </c>
      <c r="V30" s="127">
        <v>0.5</v>
      </c>
      <c r="W30" s="129">
        <f t="shared" si="4"/>
        <v>5.774560000000001</v>
      </c>
      <c r="X30" s="130">
        <f t="shared" si="5"/>
        <v>171</v>
      </c>
      <c r="Y30" s="130">
        <f t="shared" si="10"/>
        <v>456.00000000000006</v>
      </c>
      <c r="Z30" s="130">
        <f t="shared" si="11"/>
        <v>280.16640000000012</v>
      </c>
      <c r="AA30" s="130">
        <f t="shared" si="12"/>
        <v>95</v>
      </c>
      <c r="AB30" s="129"/>
      <c r="AC30" s="129"/>
      <c r="AD30" s="129"/>
      <c r="AE30" s="130">
        <f t="shared" si="6"/>
        <v>0</v>
      </c>
      <c r="AF30" s="130">
        <f t="shared" si="13"/>
        <v>0</v>
      </c>
      <c r="AG30" s="130">
        <f t="shared" si="14"/>
        <v>0</v>
      </c>
      <c r="AH30" s="130">
        <f t="shared" si="15"/>
        <v>0</v>
      </c>
      <c r="AI30" s="130">
        <f t="shared" si="16"/>
        <v>0</v>
      </c>
      <c r="AJ30" s="130">
        <f t="shared" si="17"/>
        <v>0</v>
      </c>
      <c r="AK30" s="130">
        <f t="shared" si="7"/>
        <v>0</v>
      </c>
    </row>
    <row r="31" spans="1:37" ht="15" thickBot="1" x14ac:dyDescent="0.35">
      <c r="A31" s="131"/>
      <c r="B31" s="131"/>
      <c r="C31" s="131"/>
      <c r="D31" s="131"/>
      <c r="E31" s="131"/>
      <c r="F31" s="131"/>
      <c r="G31" s="132" t="s">
        <v>135</v>
      </c>
      <c r="H31" s="132" t="s">
        <v>132</v>
      </c>
      <c r="I31" s="131">
        <v>214</v>
      </c>
      <c r="J31" s="131">
        <f>(I31-4)/6</f>
        <v>35</v>
      </c>
      <c r="K31" s="131" t="s">
        <v>103</v>
      </c>
      <c r="L31" s="132" t="s">
        <v>118</v>
      </c>
      <c r="M31" s="131"/>
      <c r="N31" s="132" t="s">
        <v>136</v>
      </c>
      <c r="O31" s="131" t="s">
        <v>89</v>
      </c>
      <c r="P31" s="131">
        <v>36</v>
      </c>
      <c r="Q31" s="131">
        <v>6</v>
      </c>
      <c r="R31" s="131">
        <v>1.35</v>
      </c>
      <c r="S31" s="131">
        <v>2.4000000000000004</v>
      </c>
      <c r="T31" s="133">
        <v>1.1059200000000005</v>
      </c>
      <c r="U31" s="131">
        <v>0.5</v>
      </c>
      <c r="V31" s="131">
        <v>0.5</v>
      </c>
      <c r="W31" s="133">
        <f t="shared" si="4"/>
        <v>5.8559200000000011</v>
      </c>
      <c r="X31" s="134">
        <f t="shared" si="5"/>
        <v>288.90000000000003</v>
      </c>
      <c r="Y31" s="134">
        <f t="shared" si="10"/>
        <v>513.6</v>
      </c>
      <c r="Z31" s="134">
        <f t="shared" si="11"/>
        <v>236.66688000000011</v>
      </c>
      <c r="AA31" s="134">
        <f t="shared" si="12"/>
        <v>107</v>
      </c>
      <c r="AB31" s="133"/>
      <c r="AC31" s="133"/>
      <c r="AD31" s="133"/>
      <c r="AE31" s="134">
        <f t="shared" si="6"/>
        <v>0</v>
      </c>
      <c r="AF31" s="134">
        <f t="shared" si="13"/>
        <v>0</v>
      </c>
      <c r="AG31" s="134">
        <f t="shared" si="14"/>
        <v>0</v>
      </c>
      <c r="AH31" s="134">
        <f t="shared" si="15"/>
        <v>0</v>
      </c>
      <c r="AI31" s="134">
        <f t="shared" si="16"/>
        <v>0</v>
      </c>
      <c r="AJ31" s="134">
        <f t="shared" si="17"/>
        <v>0</v>
      </c>
      <c r="AK31" s="134">
        <f t="shared" si="7"/>
        <v>0</v>
      </c>
    </row>
    <row r="32" spans="1:37" x14ac:dyDescent="0.3">
      <c r="G32" s="1" t="s">
        <v>170</v>
      </c>
      <c r="AE32" s="120">
        <f t="shared" ref="AE32:AJ32" si="19">$AC$34*(AE33/$AK$33)</f>
        <v>1718.7376024629807</v>
      </c>
      <c r="AF32" s="120">
        <f t="shared" si="19"/>
        <v>1678.2524795074037</v>
      </c>
      <c r="AG32" s="120">
        <f t="shared" si="19"/>
        <v>1678.2524795074037</v>
      </c>
      <c r="AH32" s="120">
        <f t="shared" si="19"/>
        <v>1678.2524795074037</v>
      </c>
      <c r="AI32" s="120">
        <f t="shared" si="19"/>
        <v>1678.2524795074037</v>
      </c>
      <c r="AJ32" s="120">
        <f t="shared" si="19"/>
        <v>1678.2524795074037</v>
      </c>
    </row>
    <row r="33" spans="23:37" x14ac:dyDescent="0.3">
      <c r="W33" s="1"/>
      <c r="X33" s="1"/>
      <c r="Y33" s="1"/>
      <c r="Z33" s="1"/>
      <c r="AA33" s="1"/>
      <c r="AC33" s="1"/>
      <c r="AD33" s="1"/>
      <c r="AE33" s="120">
        <f t="shared" ref="AE33:AK33" si="20">SUM(AE2:AE31)</f>
        <v>4266.3586399999995</v>
      </c>
      <c r="AF33" s="120">
        <f t="shared" si="20"/>
        <v>4165.8639199999998</v>
      </c>
      <c r="AG33" s="120">
        <f t="shared" si="20"/>
        <v>4165.8639199999998</v>
      </c>
      <c r="AH33" s="120">
        <f t="shared" si="20"/>
        <v>4165.8639199999998</v>
      </c>
      <c r="AI33" s="120">
        <f t="shared" si="20"/>
        <v>4165.8639199999998</v>
      </c>
      <c r="AJ33" s="120">
        <f t="shared" si="20"/>
        <v>4165.8639199999998</v>
      </c>
      <c r="AK33" s="120">
        <f t="shared" si="20"/>
        <v>25095.678240000001</v>
      </c>
    </row>
    <row r="34" spans="23:37" x14ac:dyDescent="0.3">
      <c r="W34" s="41" t="s">
        <v>158</v>
      </c>
      <c r="X34" s="120">
        <f>SUM(X2:X31)</f>
        <v>9008.0999999999985</v>
      </c>
      <c r="Y34" s="120">
        <f>SUM(Y2:Y31)</f>
        <v>12796.800000000005</v>
      </c>
      <c r="Z34" s="120">
        <f>SUM(Z2:Z31)</f>
        <v>7611.6787200000008</v>
      </c>
      <c r="AA34" s="120">
        <f>SUM(AA2:AA31)</f>
        <v>3874.5</v>
      </c>
      <c r="AC34" s="16">
        <f>Commissioning_Resource_Schedule!E16</f>
        <v>10110</v>
      </c>
      <c r="AD34" s="16">
        <f>Commissioning_Resource_Schedule!E43</f>
        <v>5670</v>
      </c>
      <c r="AE34" s="120">
        <f>SUM(AE32:AE33)</f>
        <v>5985.0962424629797</v>
      </c>
      <c r="AF34" s="120">
        <f t="shared" ref="AF34:AJ34" si="21">SUM(AF32:AF33)</f>
        <v>5844.1163995074039</v>
      </c>
      <c r="AG34" s="120">
        <f t="shared" si="21"/>
        <v>5844.1163995074039</v>
      </c>
      <c r="AH34" s="120">
        <f t="shared" si="21"/>
        <v>5844.1163995074039</v>
      </c>
      <c r="AI34" s="120">
        <f t="shared" si="21"/>
        <v>5844.1163995074039</v>
      </c>
      <c r="AJ34" s="120">
        <f t="shared" si="21"/>
        <v>5844.1163995074039</v>
      </c>
      <c r="AK34" s="120">
        <f>SUM(AD34:AJ34)</f>
        <v>40875.678239999994</v>
      </c>
    </row>
    <row r="35" spans="23:37" x14ac:dyDescent="0.3">
      <c r="AE35" s="1"/>
      <c r="AF35" s="1"/>
      <c r="AG35" s="1"/>
      <c r="AH35" s="1"/>
      <c r="AI35" s="1"/>
      <c r="AJ35" s="1"/>
    </row>
    <row r="36" spans="23:37" x14ac:dyDescent="0.3">
      <c r="W36" s="41" t="s">
        <v>171</v>
      </c>
      <c r="X36" s="120">
        <f>X34/6</f>
        <v>1501.3499999999997</v>
      </c>
      <c r="Y36" s="120">
        <f>Y34/6</f>
        <v>2132.8000000000006</v>
      </c>
      <c r="Z36" s="120">
        <f>Z34/6</f>
        <v>1268.6131200000002</v>
      </c>
      <c r="AA36" s="120">
        <f>AA34/6</f>
        <v>645.75</v>
      </c>
    </row>
    <row r="37" spans="23:37" x14ac:dyDescent="0.3">
      <c r="W37" s="41" t="s">
        <v>172</v>
      </c>
      <c r="X37" s="120">
        <f>X36/6</f>
        <v>250.22499999999994</v>
      </c>
      <c r="Y37" s="120">
        <f>Y36/6</f>
        <v>355.46666666666675</v>
      </c>
      <c r="Z37" s="120">
        <f>Z36/6</f>
        <v>211.43552000000003</v>
      </c>
      <c r="AA37" s="120">
        <f>AA36/6</f>
        <v>107.625</v>
      </c>
    </row>
    <row r="38" spans="23:37" x14ac:dyDescent="0.3">
      <c r="W38" s="41" t="s">
        <v>173</v>
      </c>
      <c r="X38" s="120">
        <f>X37/10</f>
        <v>25.022499999999994</v>
      </c>
      <c r="Y38" s="120">
        <f>Y37/10</f>
        <v>35.546666666666674</v>
      </c>
      <c r="Z38" s="120">
        <f>Z37/10</f>
        <v>21.143552000000003</v>
      </c>
      <c r="AA38" s="120">
        <f>AA37/10</f>
        <v>10.762499999999999</v>
      </c>
    </row>
    <row r="39" spans="23:37" x14ac:dyDescent="0.3">
      <c r="W39" s="41" t="s">
        <v>174</v>
      </c>
      <c r="X39" s="120">
        <f>X38/5</f>
        <v>5.0044999999999984</v>
      </c>
      <c r="Y39" s="120">
        <f t="shared" ref="Y39:AA39" si="22">Y38/5</f>
        <v>7.1093333333333346</v>
      </c>
      <c r="Z39" s="120">
        <f t="shared" si="22"/>
        <v>4.2287104000000006</v>
      </c>
      <c r="AA39" s="120">
        <f t="shared" si="22"/>
        <v>2.1524999999999999</v>
      </c>
    </row>
    <row r="40" spans="23:37" x14ac:dyDescent="0.3">
      <c r="W40" s="41"/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Commissioning_Resource_Schedule</vt:lpstr>
      <vt:lpstr>Resources</vt:lpstr>
      <vt:lpstr>Equipment_List_Commissioning</vt:lpstr>
      <vt:lpstr>Rate_Table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Stockglausner</cp:lastModifiedBy>
  <dcterms:created xsi:type="dcterms:W3CDTF">2025-11-09T19:06:46Z</dcterms:created>
  <dcterms:modified xsi:type="dcterms:W3CDTF">2025-11-10T21:11:12Z</dcterms:modified>
</cp:coreProperties>
</file>