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entonperet/Library/CloudStorage/GoogleDrive-benperet@gmail.com/My Drive/P3R3T/PGCIS/Saga Obsidian/Saga1/Saga Pryor DC/Basis of Design/Archive/Detailed Cost Info/"/>
    </mc:Choice>
  </mc:AlternateContent>
  <xr:revisionPtr revIDLastSave="0" documentId="13_ncr:1_{D3A1052F-97A6-2D42-AFF8-D3EB3FBC46DC}" xr6:coauthVersionLast="47" xr6:coauthVersionMax="47" xr10:uidLastSave="{00000000-0000-0000-0000-000000000000}"/>
  <bookViews>
    <workbookView xWindow="0" yWindow="500" windowWidth="25940" windowHeight="28300" xr2:uid="{00000000-000D-0000-FFFF-FFFF00000000}"/>
  </bookViews>
  <sheets>
    <sheet name="HVAC Cost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39" i="1"/>
  <c r="E38" i="1"/>
  <c r="E37" i="1"/>
  <c r="E36" i="1"/>
</calcChain>
</file>

<file path=xl/sharedStrings.xml><?xml version="1.0" encoding="utf-8"?>
<sst xmlns="http://schemas.openxmlformats.org/spreadsheetml/2006/main" count="118" uniqueCount="109">
  <si>
    <t>HVAC 5BOD Phase 4 - Detailed Cost Breakdown (ROM)</t>
  </si>
  <si>
    <t>Saga Pryor Data Center - 22 MW IT Load (29.7 MW Facility)</t>
  </si>
  <si>
    <t>Category</t>
  </si>
  <si>
    <t>Equipment Description</t>
  </si>
  <si>
    <t>Quantity</t>
  </si>
  <si>
    <t>Unit Cost</t>
  </si>
  <si>
    <t>Extended Cost</t>
  </si>
  <si>
    <t>Certainty</t>
  </si>
  <si>
    <t>Notes</t>
  </si>
  <si>
    <t>CHILLERS - L2C PLANT</t>
  </si>
  <si>
    <t>L2C Air-Cooled Chillers</t>
  </si>
  <si>
    <t>1,500 kW, free-cooling capable</t>
  </si>
  <si>
    <t>12 units</t>
  </si>
  <si>
    <t>Based on $233/kW industry avg + 40% price escalation since 2021</t>
  </si>
  <si>
    <t>CHILLERS - RDHx PLANT</t>
  </si>
  <si>
    <t>RDHx Air-Cooled Chillers</t>
  </si>
  <si>
    <t>6 units</t>
  </si>
  <si>
    <t>LIQUID COOLING DISTRIBUTION</t>
  </si>
  <si>
    <t>CDUs (Coolant Distribution Units)</t>
  </si>
  <si>
    <t>100-120 kW capacity, A/B pairs</t>
  </si>
  <si>
    <t>324 units</t>
  </si>
  <si>
    <t>Based on $400-500/kW DTC cost range, high variability by vendor</t>
  </si>
  <si>
    <t>RDHx Units</t>
  </si>
  <si>
    <t>25 kW rear-door exchangers</t>
  </si>
  <si>
    <t>232 units</t>
  </si>
  <si>
    <t>Estimated based on passive cooling tech, limited public pricing</t>
  </si>
  <si>
    <t>GLYCOL SYSTEMS</t>
  </si>
  <si>
    <t>Propylene Glycol (Bulk)</t>
  </si>
  <si>
    <t>25-30% concentration</t>
  </si>
  <si>
    <t>6,000 gal</t>
  </si>
  <si>
    <t>Market pricing Q1 2025: $11/gal bulk + delivery</t>
  </si>
  <si>
    <t>Glycol Mix Tanks</t>
  </si>
  <si>
    <t>500 gal pre-mix stations</t>
  </si>
  <si>
    <t>3 units</t>
  </si>
  <si>
    <t>Standard industrial tank + mixing equipment</t>
  </si>
  <si>
    <t>Fill Stations</t>
  </si>
  <si>
    <t>Transfer pumps, meters, valves</t>
  </si>
  <si>
    <t>Estimated based on pump + instrumentation package</t>
  </si>
  <si>
    <t>Chemical Dosing Pots</t>
  </si>
  <si>
    <t>Corrosion inhibitor injection</t>
  </si>
  <si>
    <t>Standard industrial dosing equipment</t>
  </si>
  <si>
    <t>PIPING &amp; DISTRIBUTION</t>
  </si>
  <si>
    <t>Primary Loop Piping (Loop 3)</t>
  </si>
  <si>
    <t>6"-12" steel, insulated, supported</t>
  </si>
  <si>
    <t>3,000 LF</t>
  </si>
  <si>
    <t>Based on $150-200/LF for insulated industrial pipe</t>
  </si>
  <si>
    <t>Primary Loop Piping (Loops 1+2)</t>
  </si>
  <si>
    <t>4"-8" steel, insulated, supported</t>
  </si>
  <si>
    <t>2,000 LF</t>
  </si>
  <si>
    <t>Smaller diameter, same spec as Loop 3</t>
  </si>
  <si>
    <t>Secondary Loop Piping (L2C)</t>
  </si>
  <si>
    <t>1"-2" SS/dielectric-compatible</t>
  </si>
  <si>
    <t>5,000 LF</t>
  </si>
  <si>
    <t>Stainless steel + specialty fluid compatibility</t>
  </si>
  <si>
    <t>Quick-Disconnect Couplings</t>
  </si>
  <si>
    <t>Dry-break type, rack connections</t>
  </si>
  <si>
    <t>394 units</t>
  </si>
  <si>
    <t>Industrial quick-disconnect + installation</t>
  </si>
  <si>
    <t>Isolation Ball Valves</t>
  </si>
  <si>
    <t>Various sizes, major equipment</t>
  </si>
  <si>
    <t>100 units</t>
  </si>
  <si>
    <t>Standard industrial valve pricing</t>
  </si>
  <si>
    <t>Expansion Tanks</t>
  </si>
  <si>
    <t>500-1,000 gal bladder-type</t>
  </si>
  <si>
    <t>Industrial expansion tank + installation</t>
  </si>
  <si>
    <t>Air/Dirt Separators</t>
  </si>
  <si>
    <t>Filtration + separation</t>
  </si>
  <si>
    <t>Standard HVAC accessories</t>
  </si>
  <si>
    <t>LEAK DETECTION</t>
  </si>
  <si>
    <t>Sensing Cable</t>
  </si>
  <si>
    <t>Conductive fluid detection</t>
  </si>
  <si>
    <t>Standard leak detection cable pricing</t>
  </si>
  <si>
    <t>Spot Leak Detectors</t>
  </si>
  <si>
    <t>Discrete sensors</t>
  </si>
  <si>
    <t>500 units</t>
  </si>
  <si>
    <t>Commercial spot detector pricing</t>
  </si>
  <si>
    <t>Control Panels</t>
  </si>
  <si>
    <t>BACnet/IP integration, N+1</t>
  </si>
  <si>
    <t>2 units</t>
  </si>
  <si>
    <t>Industrial control panel + programming</t>
  </si>
  <si>
    <t>DATA HALL ENVIRONMENTAL</t>
  </si>
  <si>
    <t>DOAS Units</t>
  </si>
  <si>
    <t>100% OA, enthalpy wheel, N+1</t>
  </si>
  <si>
    <t>4 units</t>
  </si>
  <si>
    <t>Estimated based on high-capacity commercial units</t>
  </si>
  <si>
    <t>Steam Humidifiers</t>
  </si>
  <si>
    <t>Integrated with DOAS</t>
  </si>
  <si>
    <t>Standard steam injection humidifier</t>
  </si>
  <si>
    <t>SUPPORT SPACE HVAC</t>
  </si>
  <si>
    <t>Rooftop Units (RTUs)</t>
  </si>
  <si>
    <t>Package DX units</t>
  </si>
  <si>
    <t>5 units</t>
  </si>
  <si>
    <t>Commercial RTU pricing</t>
  </si>
  <si>
    <t>Mechanical Room HVAC</t>
  </si>
  <si>
    <t>Factory-integrated cooling</t>
  </si>
  <si>
    <t>Integrated UPS/electrical room cooling</t>
  </si>
  <si>
    <t>SUBTOTAL - EQUIPMENT &amp; MATERIALS</t>
  </si>
  <si>
    <t>Average certainty across all line items</t>
  </si>
  <si>
    <t>INSTALLATION LABOR</t>
  </si>
  <si>
    <t>35-45% of equipment cost</t>
  </si>
  <si>
    <t>Industry standard range for complex systems</t>
  </si>
  <si>
    <t>ENGINEERING &amp; COMMISSIONING</t>
  </si>
  <si>
    <t>8-12% of installed cost</t>
  </si>
  <si>
    <t>Design, startup, testing, TAB</t>
  </si>
  <si>
    <t>CONTINGENCY</t>
  </si>
  <si>
    <t>15% for BOD phase uncertainty</t>
  </si>
  <si>
    <t>Recommended for pre-design phase</t>
  </si>
  <si>
    <t>TOTAL MECHANICAL SYSTEMS (PHASE 4)</t>
  </si>
  <si>
    <t>ROM estimate - budget quality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</si>
</sst>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&quot;%&quot;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4" borderId="1" xfId="0" applyFont="1" applyFill="1" applyBorder="1" applyAlignment="1">
      <alignment wrapText="1"/>
    </xf>
    <xf numFmtId="0" fontId="5" fillId="5" borderId="1" xfId="0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0" fontId="5" fillId="5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50" zoomScaleNormal="150" workbookViewId="0">
      <pane ySplit="4" topLeftCell="A5" activePane="bottomLeft" state="frozen"/>
      <selection pane="bottomLeft" activeCell="E39" sqref="E39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4" width="12" customWidth="1"/>
    <col min="5" max="5" width="15" customWidth="1"/>
    <col min="6" max="6" width="10" customWidth="1"/>
    <col min="7" max="7" width="60" customWidth="1"/>
  </cols>
  <sheetData>
    <row r="1" spans="1:7" ht="19" x14ac:dyDescent="0.25">
      <c r="A1" s="18" t="s">
        <v>0</v>
      </c>
      <c r="B1" s="17"/>
      <c r="C1" s="17"/>
      <c r="D1" s="17"/>
      <c r="E1" s="17"/>
      <c r="F1" s="17"/>
      <c r="G1" s="17"/>
    </row>
    <row r="2" spans="1:7" x14ac:dyDescent="0.2">
      <c r="A2" s="16" t="s">
        <v>1</v>
      </c>
      <c r="B2" s="17"/>
      <c r="C2" s="17"/>
      <c r="D2" s="17"/>
      <c r="E2" s="17"/>
      <c r="F2" s="17"/>
      <c r="G2" s="17"/>
    </row>
    <row r="4" spans="1:7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">
      <c r="A5" s="2" t="s">
        <v>9</v>
      </c>
      <c r="B5" s="3"/>
      <c r="C5" s="3"/>
      <c r="D5" s="3"/>
      <c r="E5" s="3"/>
      <c r="F5" s="3"/>
      <c r="G5" s="3"/>
    </row>
    <row r="6" spans="1:7" ht="16" x14ac:dyDescent="0.2">
      <c r="A6" s="4" t="s">
        <v>10</v>
      </c>
      <c r="B6" s="4" t="s">
        <v>11</v>
      </c>
      <c r="C6" s="4" t="s">
        <v>12</v>
      </c>
      <c r="D6" s="5">
        <v>350000</v>
      </c>
      <c r="E6" s="5">
        <v>4200000</v>
      </c>
      <c r="F6" s="6">
        <v>0.6</v>
      </c>
      <c r="G6" s="7" t="s">
        <v>13</v>
      </c>
    </row>
    <row r="7" spans="1:7" x14ac:dyDescent="0.2">
      <c r="A7" s="2" t="s">
        <v>14</v>
      </c>
      <c r="B7" s="3"/>
      <c r="C7" s="3"/>
      <c r="D7" s="3"/>
      <c r="E7" s="3"/>
      <c r="F7" s="3"/>
      <c r="G7" s="3"/>
    </row>
    <row r="8" spans="1:7" ht="16" x14ac:dyDescent="0.2">
      <c r="A8" s="4" t="s">
        <v>15</v>
      </c>
      <c r="B8" s="4" t="s">
        <v>11</v>
      </c>
      <c r="C8" s="4" t="s">
        <v>16</v>
      </c>
      <c r="D8" s="5">
        <v>350000</v>
      </c>
      <c r="E8" s="5">
        <v>2100000</v>
      </c>
      <c r="F8" s="6">
        <v>0.6</v>
      </c>
      <c r="G8" s="7" t="s">
        <v>13</v>
      </c>
    </row>
    <row r="9" spans="1:7" x14ac:dyDescent="0.2">
      <c r="A9" s="2" t="s">
        <v>17</v>
      </c>
      <c r="B9" s="3"/>
      <c r="C9" s="3"/>
      <c r="D9" s="3"/>
      <c r="E9" s="3"/>
      <c r="F9" s="3"/>
      <c r="G9" s="3"/>
    </row>
    <row r="10" spans="1:7" ht="16" x14ac:dyDescent="0.2">
      <c r="A10" s="4" t="s">
        <v>18</v>
      </c>
      <c r="B10" s="4" t="s">
        <v>19</v>
      </c>
      <c r="C10" s="4" t="s">
        <v>20</v>
      </c>
      <c r="D10" s="5">
        <v>85000</v>
      </c>
      <c r="E10" s="5"/>
      <c r="F10" s="6">
        <v>0.5</v>
      </c>
      <c r="G10" s="7" t="s">
        <v>21</v>
      </c>
    </row>
    <row r="11" spans="1:7" ht="16" x14ac:dyDescent="0.2">
      <c r="A11" s="4" t="s">
        <v>22</v>
      </c>
      <c r="B11" s="4" t="s">
        <v>23</v>
      </c>
      <c r="C11" s="4" t="s">
        <v>24</v>
      </c>
      <c r="D11" s="5">
        <v>12000</v>
      </c>
      <c r="E11" s="5"/>
      <c r="F11" s="6">
        <v>0.55000000000000004</v>
      </c>
      <c r="G11" s="7" t="s">
        <v>25</v>
      </c>
    </row>
    <row r="12" spans="1:7" x14ac:dyDescent="0.2">
      <c r="A12" s="2" t="s">
        <v>26</v>
      </c>
      <c r="B12" s="3"/>
      <c r="C12" s="3"/>
      <c r="D12" s="3"/>
      <c r="E12" s="3"/>
      <c r="F12" s="3"/>
      <c r="G12" s="3"/>
    </row>
    <row r="13" spans="1:7" ht="16" x14ac:dyDescent="0.2">
      <c r="A13" s="4" t="s">
        <v>27</v>
      </c>
      <c r="B13" s="4" t="s">
        <v>28</v>
      </c>
      <c r="C13" s="4" t="s">
        <v>29</v>
      </c>
      <c r="D13" s="5">
        <v>12</v>
      </c>
      <c r="E13" s="5">
        <v>72000</v>
      </c>
      <c r="F13" s="6">
        <v>0.85</v>
      </c>
      <c r="G13" s="7" t="s">
        <v>30</v>
      </c>
    </row>
    <row r="14" spans="1:7" ht="16" x14ac:dyDescent="0.2">
      <c r="A14" s="4" t="s">
        <v>31</v>
      </c>
      <c r="B14" s="4" t="s">
        <v>32</v>
      </c>
      <c r="C14" s="4" t="s">
        <v>33</v>
      </c>
      <c r="D14" s="5">
        <v>8000</v>
      </c>
      <c r="E14" s="5">
        <v>24000</v>
      </c>
      <c r="F14" s="6">
        <v>0.7</v>
      </c>
      <c r="G14" s="7" t="s">
        <v>34</v>
      </c>
    </row>
    <row r="15" spans="1:7" ht="16" x14ac:dyDescent="0.2">
      <c r="A15" s="4" t="s">
        <v>35</v>
      </c>
      <c r="B15" s="4" t="s">
        <v>36</v>
      </c>
      <c r="C15" s="4" t="s">
        <v>33</v>
      </c>
      <c r="D15" s="5">
        <v>15000</v>
      </c>
      <c r="E15" s="5">
        <v>45000</v>
      </c>
      <c r="F15" s="6">
        <v>0.65</v>
      </c>
      <c r="G15" s="7" t="s">
        <v>37</v>
      </c>
    </row>
    <row r="16" spans="1:7" ht="16" x14ac:dyDescent="0.2">
      <c r="A16" s="4" t="s">
        <v>38</v>
      </c>
      <c r="B16" s="4" t="s">
        <v>39</v>
      </c>
      <c r="C16" s="4" t="s">
        <v>33</v>
      </c>
      <c r="D16" s="5">
        <v>3500</v>
      </c>
      <c r="E16" s="5">
        <v>10500</v>
      </c>
      <c r="F16" s="6">
        <v>0.7</v>
      </c>
      <c r="G16" s="7" t="s">
        <v>40</v>
      </c>
    </row>
    <row r="17" spans="1:7" x14ac:dyDescent="0.2">
      <c r="A17" s="2" t="s">
        <v>41</v>
      </c>
      <c r="B17" s="3"/>
      <c r="C17" s="3"/>
      <c r="D17" s="3"/>
      <c r="E17" s="3"/>
      <c r="F17" s="3"/>
      <c r="G17" s="3"/>
    </row>
    <row r="18" spans="1:7" ht="16" x14ac:dyDescent="0.2">
      <c r="A18" s="4" t="s">
        <v>42</v>
      </c>
      <c r="B18" s="4" t="s">
        <v>43</v>
      </c>
      <c r="C18" s="4" t="s">
        <v>44</v>
      </c>
      <c r="D18" s="5">
        <v>180</v>
      </c>
      <c r="E18" s="5">
        <v>540000</v>
      </c>
      <c r="F18" s="6">
        <v>0.6</v>
      </c>
      <c r="G18" s="7" t="s">
        <v>45</v>
      </c>
    </row>
    <row r="19" spans="1:7" ht="16" x14ac:dyDescent="0.2">
      <c r="A19" s="4" t="s">
        <v>46</v>
      </c>
      <c r="B19" s="4" t="s">
        <v>47</v>
      </c>
      <c r="C19" s="4" t="s">
        <v>48</v>
      </c>
      <c r="D19" s="5">
        <v>150</v>
      </c>
      <c r="E19" s="5">
        <v>300000</v>
      </c>
      <c r="F19" s="6">
        <v>0.6</v>
      </c>
      <c r="G19" s="7" t="s">
        <v>49</v>
      </c>
    </row>
    <row r="20" spans="1:7" ht="16" x14ac:dyDescent="0.2">
      <c r="A20" s="4" t="s">
        <v>50</v>
      </c>
      <c r="B20" s="4" t="s">
        <v>51</v>
      </c>
      <c r="C20" s="4" t="s">
        <v>52</v>
      </c>
      <c r="D20" s="5">
        <v>120</v>
      </c>
      <c r="E20" s="5">
        <v>600000</v>
      </c>
      <c r="F20" s="6">
        <v>0.55000000000000004</v>
      </c>
      <c r="G20" s="7" t="s">
        <v>53</v>
      </c>
    </row>
    <row r="21" spans="1:7" ht="16" x14ac:dyDescent="0.2">
      <c r="A21" s="4" t="s">
        <v>54</v>
      </c>
      <c r="B21" s="4" t="s">
        <v>55</v>
      </c>
      <c r="C21" s="4" t="s">
        <v>56</v>
      </c>
      <c r="D21" s="5">
        <v>800</v>
      </c>
      <c r="E21" s="5">
        <v>315200</v>
      </c>
      <c r="F21" s="6">
        <v>0.65</v>
      </c>
      <c r="G21" s="7" t="s">
        <v>57</v>
      </c>
    </row>
    <row r="22" spans="1:7" ht="16" x14ac:dyDescent="0.2">
      <c r="A22" s="4" t="s">
        <v>58</v>
      </c>
      <c r="B22" s="4" t="s">
        <v>59</v>
      </c>
      <c r="C22" s="4" t="s">
        <v>60</v>
      </c>
      <c r="D22" s="5">
        <v>450</v>
      </c>
      <c r="E22" s="5">
        <v>45000</v>
      </c>
      <c r="F22" s="6">
        <v>0.7</v>
      </c>
      <c r="G22" s="7" t="s">
        <v>61</v>
      </c>
    </row>
    <row r="23" spans="1:7" ht="16" x14ac:dyDescent="0.2">
      <c r="A23" s="4" t="s">
        <v>62</v>
      </c>
      <c r="B23" s="4" t="s">
        <v>63</v>
      </c>
      <c r="C23" s="4" t="s">
        <v>33</v>
      </c>
      <c r="D23" s="5">
        <v>12000</v>
      </c>
      <c r="E23" s="5">
        <v>36000</v>
      </c>
      <c r="F23" s="6">
        <v>0.7</v>
      </c>
      <c r="G23" s="7" t="s">
        <v>64</v>
      </c>
    </row>
    <row r="24" spans="1:7" ht="16" x14ac:dyDescent="0.2">
      <c r="A24" s="4" t="s">
        <v>65</v>
      </c>
      <c r="B24" s="4" t="s">
        <v>66</v>
      </c>
      <c r="C24" s="4" t="s">
        <v>16</v>
      </c>
      <c r="D24" s="5">
        <v>6000</v>
      </c>
      <c r="E24" s="5">
        <v>36000</v>
      </c>
      <c r="F24" s="6">
        <v>0.7</v>
      </c>
      <c r="G24" s="7" t="s">
        <v>67</v>
      </c>
    </row>
    <row r="25" spans="1:7" x14ac:dyDescent="0.2">
      <c r="A25" s="2" t="s">
        <v>68</v>
      </c>
      <c r="B25" s="3"/>
      <c r="C25" s="3"/>
      <c r="D25" s="3"/>
      <c r="E25" s="3"/>
      <c r="F25" s="3"/>
      <c r="G25" s="3"/>
    </row>
    <row r="26" spans="1:7" ht="16" x14ac:dyDescent="0.2">
      <c r="A26" s="4" t="s">
        <v>69</v>
      </c>
      <c r="B26" s="4" t="s">
        <v>70</v>
      </c>
      <c r="C26" s="4" t="s">
        <v>44</v>
      </c>
      <c r="D26" s="5">
        <v>25</v>
      </c>
      <c r="E26" s="5">
        <v>75000</v>
      </c>
      <c r="F26" s="6">
        <v>0.75</v>
      </c>
      <c r="G26" s="7" t="s">
        <v>71</v>
      </c>
    </row>
    <row r="27" spans="1:7" ht="16" x14ac:dyDescent="0.2">
      <c r="A27" s="4" t="s">
        <v>72</v>
      </c>
      <c r="B27" s="4" t="s">
        <v>73</v>
      </c>
      <c r="C27" s="4" t="s">
        <v>74</v>
      </c>
      <c r="D27" s="5">
        <v>200</v>
      </c>
      <c r="E27" s="5">
        <v>100000</v>
      </c>
      <c r="F27" s="6">
        <v>0.75</v>
      </c>
      <c r="G27" s="7" t="s">
        <v>75</v>
      </c>
    </row>
    <row r="28" spans="1:7" ht="16" x14ac:dyDescent="0.2">
      <c r="A28" s="4" t="s">
        <v>76</v>
      </c>
      <c r="B28" s="4" t="s">
        <v>77</v>
      </c>
      <c r="C28" s="4" t="s">
        <v>78</v>
      </c>
      <c r="D28" s="5">
        <v>35000</v>
      </c>
      <c r="E28" s="5">
        <v>70000</v>
      </c>
      <c r="F28" s="6">
        <v>0.7</v>
      </c>
      <c r="G28" s="7" t="s">
        <v>79</v>
      </c>
    </row>
    <row r="29" spans="1:7" x14ac:dyDescent="0.2">
      <c r="A29" s="2" t="s">
        <v>80</v>
      </c>
      <c r="B29" s="3"/>
      <c r="C29" s="3"/>
      <c r="D29" s="3"/>
      <c r="E29" s="3"/>
      <c r="F29" s="3"/>
      <c r="G29" s="3"/>
    </row>
    <row r="30" spans="1:7" ht="16" x14ac:dyDescent="0.2">
      <c r="A30" s="4" t="s">
        <v>81</v>
      </c>
      <c r="B30" s="4" t="s">
        <v>82</v>
      </c>
      <c r="C30" s="4" t="s">
        <v>83</v>
      </c>
      <c r="D30" s="5">
        <v>85000</v>
      </c>
      <c r="E30" s="5">
        <v>340000</v>
      </c>
      <c r="F30" s="6">
        <v>0.55000000000000004</v>
      </c>
      <c r="G30" s="7" t="s">
        <v>84</v>
      </c>
    </row>
    <row r="31" spans="1:7" ht="16" x14ac:dyDescent="0.2">
      <c r="A31" s="4" t="s">
        <v>85</v>
      </c>
      <c r="B31" s="4" t="s">
        <v>86</v>
      </c>
      <c r="C31" s="4" t="s">
        <v>83</v>
      </c>
      <c r="D31" s="5">
        <v>12000</v>
      </c>
      <c r="E31" s="5">
        <v>48000</v>
      </c>
      <c r="F31" s="6">
        <v>0.7</v>
      </c>
      <c r="G31" s="7" t="s">
        <v>87</v>
      </c>
    </row>
    <row r="32" spans="1:7" x14ac:dyDescent="0.2">
      <c r="A32" s="2" t="s">
        <v>88</v>
      </c>
      <c r="B32" s="3"/>
      <c r="C32" s="3"/>
      <c r="D32" s="3"/>
      <c r="E32" s="3"/>
      <c r="F32" s="3"/>
      <c r="G32" s="3"/>
    </row>
    <row r="33" spans="1:7" ht="16" x14ac:dyDescent="0.2">
      <c r="A33" s="4" t="s">
        <v>89</v>
      </c>
      <c r="B33" s="4" t="s">
        <v>90</v>
      </c>
      <c r="C33" s="4" t="s">
        <v>91</v>
      </c>
      <c r="D33" s="5">
        <v>35000</v>
      </c>
      <c r="E33" s="5">
        <v>175000</v>
      </c>
      <c r="F33" s="6">
        <v>0.7</v>
      </c>
      <c r="G33" s="7" t="s">
        <v>92</v>
      </c>
    </row>
    <row r="34" spans="1:7" ht="16" x14ac:dyDescent="0.2">
      <c r="A34" s="4" t="s">
        <v>93</v>
      </c>
      <c r="B34" s="4" t="s">
        <v>94</v>
      </c>
      <c r="C34" s="4" t="s">
        <v>91</v>
      </c>
      <c r="D34" s="5">
        <v>25000</v>
      </c>
      <c r="E34" s="5">
        <v>125000</v>
      </c>
      <c r="F34" s="6">
        <v>0.65</v>
      </c>
      <c r="G34" s="7" t="s">
        <v>95</v>
      </c>
    </row>
    <row r="36" spans="1:7" x14ac:dyDescent="0.2">
      <c r="A36" s="8" t="s">
        <v>96</v>
      </c>
      <c r="B36" s="8"/>
      <c r="C36" s="8"/>
      <c r="D36" s="8"/>
      <c r="E36" s="9">
        <f>SUM(E6:E35)</f>
        <v>9256700</v>
      </c>
      <c r="F36" s="10">
        <v>0.57999999999999996</v>
      </c>
      <c r="G36" s="11" t="s">
        <v>97</v>
      </c>
    </row>
    <row r="37" spans="1:7" x14ac:dyDescent="0.2">
      <c r="A37" s="8" t="s">
        <v>98</v>
      </c>
      <c r="B37" s="8" t="s">
        <v>99</v>
      </c>
      <c r="C37" s="8"/>
      <c r="D37" s="8"/>
      <c r="E37" s="9">
        <f>E36*0.4</f>
        <v>3702680</v>
      </c>
      <c r="F37" s="10">
        <v>0.5</v>
      </c>
      <c r="G37" s="11" t="s">
        <v>100</v>
      </c>
    </row>
    <row r="38" spans="1:7" x14ac:dyDescent="0.2">
      <c r="A38" s="8" t="s">
        <v>101</v>
      </c>
      <c r="B38" s="8" t="s">
        <v>102</v>
      </c>
      <c r="C38" s="8"/>
      <c r="D38" s="8"/>
      <c r="E38" s="9">
        <f>E36*0.1</f>
        <v>925670</v>
      </c>
      <c r="F38" s="10">
        <v>0.55000000000000004</v>
      </c>
      <c r="G38" s="11" t="s">
        <v>103</v>
      </c>
    </row>
    <row r="39" spans="1:7" x14ac:dyDescent="0.2">
      <c r="A39" s="8" t="s">
        <v>104</v>
      </c>
      <c r="B39" s="8" t="s">
        <v>105</v>
      </c>
      <c r="C39" s="8"/>
      <c r="D39" s="8"/>
      <c r="E39" s="9">
        <f>E36*0.15</f>
        <v>1388505</v>
      </c>
      <c r="F39" s="8"/>
      <c r="G39" s="11" t="s">
        <v>106</v>
      </c>
    </row>
    <row r="41" spans="1:7" ht="16" x14ac:dyDescent="0.2">
      <c r="A41" s="12" t="s">
        <v>107</v>
      </c>
      <c r="B41" s="12"/>
      <c r="C41" s="12"/>
      <c r="D41" s="12"/>
      <c r="E41" s="13">
        <f>SUM(E36:E40)</f>
        <v>15273555</v>
      </c>
      <c r="F41" s="14">
        <v>0.55000000000000004</v>
      </c>
      <c r="G41" s="15" t="s">
        <v>108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HVAC 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Benton Peret</cp:lastModifiedBy>
  <dcterms:created xsi:type="dcterms:W3CDTF">2025-11-05T22:27:18Z</dcterms:created>
  <dcterms:modified xsi:type="dcterms:W3CDTF">2025-11-05T22:39:29Z</dcterms:modified>
</cp:coreProperties>
</file>