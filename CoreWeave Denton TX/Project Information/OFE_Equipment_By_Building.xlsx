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ks\Documents\Obsidian\CoreWeave Denton TX\Project Information\"/>
    </mc:Choice>
  </mc:AlternateContent>
  <xr:revisionPtr revIDLastSave="0" documentId="13_ncr:9_{3B8D2858-84F1-4F8C-A511-AC74F7A51F1A}" xr6:coauthVersionLast="47" xr6:coauthVersionMax="47" xr10:uidLastSave="{00000000-0000-0000-0000-000000000000}"/>
  <bookViews>
    <workbookView xWindow="-28920" yWindow="-120" windowWidth="29040" windowHeight="15720" xr2:uid="{52E5C77D-C30E-4CBD-8788-991C13B8A0AD}"/>
  </bookViews>
  <sheets>
    <sheet name="OFE_Equipment_By_Building" sheetId="1" r:id="rId1"/>
  </sheets>
  <calcPr calcId="0"/>
</workbook>
</file>

<file path=xl/calcChain.xml><?xml version="1.0" encoding="utf-8"?>
<calcChain xmlns="http://schemas.openxmlformats.org/spreadsheetml/2006/main">
  <c r="K192" i="1" l="1"/>
  <c r="M192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5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J192" i="1"/>
</calcChain>
</file>

<file path=xl/sharedStrings.xml><?xml version="1.0" encoding="utf-8"?>
<sst xmlns="http://schemas.openxmlformats.org/spreadsheetml/2006/main" count="1196" uniqueCount="121">
  <si>
    <t>Building</t>
  </si>
  <si>
    <t>Assignment</t>
  </si>
  <si>
    <t>Seller</t>
  </si>
  <si>
    <t>OEM</t>
  </si>
  <si>
    <t>Description</t>
  </si>
  <si>
    <t>Procurement Status</t>
  </si>
  <si>
    <t>Quantity Required</t>
  </si>
  <si>
    <t>Quantity Ordered</t>
  </si>
  <si>
    <t>Net Short Quantity</t>
  </si>
  <si>
    <t>Extended Amount</t>
  </si>
  <si>
    <t>Extended Amount Outstanding</t>
  </si>
  <si>
    <t>Unit Price</t>
  </si>
  <si>
    <t>A</t>
  </si>
  <si>
    <t>DTO-A</t>
  </si>
  <si>
    <t>CERIO</t>
  </si>
  <si>
    <t>DELTA</t>
  </si>
  <si>
    <t>DELTA-1250KVA-UPS</t>
  </si>
  <si>
    <t>PO Issued</t>
  </si>
  <si>
    <t>DELTA-250KVA-UPS</t>
  </si>
  <si>
    <t>DELTA-400A-BUSWAY</t>
  </si>
  <si>
    <t>DELTA-600A-BUSWAY</t>
  </si>
  <si>
    <t>DELTA-63A-PIU</t>
  </si>
  <si>
    <t>INCLUDED IN BUSWAY</t>
  </si>
  <si>
    <t>JCI</t>
  </si>
  <si>
    <t>JCI-72K-FAN WALL</t>
  </si>
  <si>
    <t>JCL ENERGY</t>
  </si>
  <si>
    <t>JCL ENERGY-2550KVA 13.2KV KNAN-TRANSFORMER</t>
  </si>
  <si>
    <t>JCL ENERGY-2550KVA 13.2KV KNAF-TRANSFORMER</t>
  </si>
  <si>
    <t>MCG</t>
  </si>
  <si>
    <t>MCFI</t>
  </si>
  <si>
    <t>MCFI-IT-MODULE</t>
  </si>
  <si>
    <t>MCFI-MECH-MODULE</t>
  </si>
  <si>
    <t>SVL</t>
  </si>
  <si>
    <t>AAON</t>
  </si>
  <si>
    <t>AAON-RQA-005-DOAS</t>
  </si>
  <si>
    <t>CONDAIR</t>
  </si>
  <si>
    <t>CONDAIR-RS-030-HUMIDIFIER</t>
  </si>
  <si>
    <t>DADEX</t>
  </si>
  <si>
    <t>DADEX-60KW-CRAH</t>
  </si>
  <si>
    <t>TEXAS AIR SYSTEMS</t>
  </si>
  <si>
    <t>FISEN</t>
  </si>
  <si>
    <t>FISEN-YVFA0459-CHILLED WATER PUMP SKID</t>
  </si>
  <si>
    <t>WENDLAND</t>
  </si>
  <si>
    <t>WENDLAND-15000 GAL HORIZONTAL-THERMAL STORAGE TANK</t>
  </si>
  <si>
    <t>A-MMR</t>
  </si>
  <si>
    <t>DTO-A-MMR</t>
  </si>
  <si>
    <t>B</t>
  </si>
  <si>
    <t>DTO-B</t>
  </si>
  <si>
    <t>HYDRAQUIP</t>
  </si>
  <si>
    <t>DANFOSS</t>
  </si>
  <si>
    <t>DANFOSS-2" FD83-COUPLER</t>
  </si>
  <si>
    <t>DELTA-800A-STS</t>
  </si>
  <si>
    <t>DELTA-800A-BUSWAY</t>
  </si>
  <si>
    <t>KOHLER</t>
  </si>
  <si>
    <t>KOHLER-3MW-GENERATOR</t>
  </si>
  <si>
    <t>EAE</t>
  </si>
  <si>
    <t>EAE-4000A-RESERVE BUSDUCT</t>
  </si>
  <si>
    <t>EAE-800A-RESERVE BUSDUCT TAP BOX</t>
  </si>
  <si>
    <t>INCLUDED IN RBUS</t>
  </si>
  <si>
    <t>JCI-500T-115-CHILLER</t>
  </si>
  <si>
    <t>JCL ENERGY-2550KVA 34.5KV KNAN-TRANSFORMER</t>
  </si>
  <si>
    <t>JCL ENERGY-2550KVA 34.5KV KNAF-TRANSFORMER</t>
  </si>
  <si>
    <t>AAON-RQA-011-DOAS</t>
  </si>
  <si>
    <t>WENDLAND-30000 GAL VERTICAL-THERMAL STORAGE TANK</t>
  </si>
  <si>
    <t>B-MMR</t>
  </si>
  <si>
    <t>DTO-B-MMR</t>
  </si>
  <si>
    <t>C</t>
  </si>
  <si>
    <t>DTO-C</t>
  </si>
  <si>
    <t>C-MMR</t>
  </si>
  <si>
    <t>DTO-C-MMR</t>
  </si>
  <si>
    <t>D</t>
  </si>
  <si>
    <t>DTO-D</t>
  </si>
  <si>
    <t>VTC</t>
  </si>
  <si>
    <t>VTC-2550KVA 34.5KV KNAN-TRANSFORMER</t>
  </si>
  <si>
    <t>VTC-2550KVA 34.5KV KNAF-TRANSFORMER</t>
  </si>
  <si>
    <t>WENDLAND-30000 GAL HORIZONTAL-THERMAL STORAGE TANK</t>
  </si>
  <si>
    <t>ABB</t>
  </si>
  <si>
    <t>ABB-38KV 330-MV SWG</t>
  </si>
  <si>
    <t>ABB-38KV 210-MV SWG</t>
  </si>
  <si>
    <t>D-MMR</t>
  </si>
  <si>
    <t>DTO-D-MMR</t>
  </si>
  <si>
    <t>E</t>
  </si>
  <si>
    <t>DTO-E</t>
  </si>
  <si>
    <t>GIGA ENERGY</t>
  </si>
  <si>
    <t>GIGA ENERGY-2550KVA 18KV KNAN-TRANSFORMER</t>
  </si>
  <si>
    <t>GIGA ENERGY-2550KVA 18KV KNAF-TRANSFORMER</t>
  </si>
  <si>
    <t>SVL-IST CX SUPPORT-CAMPUS</t>
  </si>
  <si>
    <t>TAS-IST CX SUPPORT-CAMPUS</t>
  </si>
  <si>
    <t>KOHLER-2.8MW-GENERATOR</t>
  </si>
  <si>
    <t>JCI-HAIL LOUVERS-CHILLER</t>
  </si>
  <si>
    <t>PO Pending Approval</t>
  </si>
  <si>
    <t>JCI-FAN WALL FILTER RACK G1-REPAIR</t>
  </si>
  <si>
    <t>JCI-FAN WALL FILTER RACK G2-REPAIR</t>
  </si>
  <si>
    <t>JCI-FAN WALL IST CX-OVERTIME</t>
  </si>
  <si>
    <t>STARLINE</t>
  </si>
  <si>
    <t>STARLINE-L2 CX-BUSWAY</t>
  </si>
  <si>
    <t>KOHLER-3.5MW-GENERATOR</t>
  </si>
  <si>
    <t>POINT EIGHT POWER</t>
  </si>
  <si>
    <t>PEP-1.25MW CAT-SWITCHBOARD</t>
  </si>
  <si>
    <t>CUMMINS</t>
  </si>
  <si>
    <t>CUMMINS-70A-ATS</t>
  </si>
  <si>
    <t>T5</t>
  </si>
  <si>
    <t>CAT</t>
  </si>
  <si>
    <t>CAT-1.25MW-GENERATOR</t>
  </si>
  <si>
    <t>E-MMR</t>
  </si>
  <si>
    <t>DTO-E-MMR</t>
  </si>
  <si>
    <t>F</t>
  </si>
  <si>
    <t>DTO-F</t>
  </si>
  <si>
    <t>F-MMR</t>
  </si>
  <si>
    <t>DTO-F-MMR</t>
  </si>
  <si>
    <t>G</t>
  </si>
  <si>
    <t>DTO-G</t>
  </si>
  <si>
    <t>ABB-800A-STS</t>
  </si>
  <si>
    <t>G-MMR</t>
  </si>
  <si>
    <t>DTO-G-MMR</t>
  </si>
  <si>
    <t>H</t>
  </si>
  <si>
    <t>DTO-H</t>
  </si>
  <si>
    <t>H-MMR</t>
  </si>
  <si>
    <t>DTO-H-MMR</t>
  </si>
  <si>
    <t>Total</t>
  </si>
  <si>
    <t>Extended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</si>
</sst>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165" formatCode="_(&quot;$&quot;* #,##0_);_(&quot;$&quot;* \(#,##0\);_(&quot;$&quot;* &quot;-&quot;??_);_(@_)"/>
  </numFmts>
  <fonts count="18" x14ac:knownFonts="1">
    <font>
      <sz val="11"/>
      <color theme="1"/>
      <name val="Aptos"/>
      <family val="2"/>
    </font>
    <font>
      <sz val="11"/>
      <color theme="1"/>
      <name val="Aptos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ptos"/>
      <family val="2"/>
    </font>
    <font>
      <b/>
      <sz val="13"/>
      <color theme="3"/>
      <name val="Aptos"/>
      <family val="2"/>
    </font>
    <font>
      <b/>
      <sz val="11"/>
      <color theme="3"/>
      <name val="Aptos"/>
      <family val="2"/>
    </font>
    <font>
      <sz val="11"/>
      <color rgb="FF006100"/>
      <name val="Aptos"/>
      <family val="2"/>
    </font>
    <font>
      <sz val="11"/>
      <color rgb="FF9C0006"/>
      <name val="Aptos"/>
      <family val="2"/>
    </font>
    <font>
      <sz val="11"/>
      <color rgb="FF9C5700"/>
      <name val="Aptos"/>
      <family val="2"/>
    </font>
    <font>
      <sz val="11"/>
      <color rgb="FF3F3F76"/>
      <name val="Aptos"/>
      <family val="2"/>
    </font>
    <font>
      <b/>
      <sz val="11"/>
      <color rgb="FF3F3F3F"/>
      <name val="Aptos"/>
      <family val="2"/>
    </font>
    <font>
      <b/>
      <sz val="11"/>
      <color rgb="FFFA7D00"/>
      <name val="Aptos"/>
      <family val="2"/>
    </font>
    <font>
      <sz val="11"/>
      <color rgb="FFFA7D00"/>
      <name val="Aptos"/>
      <family val="2"/>
    </font>
    <font>
      <b/>
      <sz val="11"/>
      <color theme="0"/>
      <name val="Aptos"/>
      <family val="2"/>
    </font>
    <font>
      <sz val="11"/>
      <color rgb="FFFF0000"/>
      <name val="Aptos"/>
      <family val="2"/>
    </font>
    <font>
      <i/>
      <sz val="11"/>
      <color rgb="FF7F7F7F"/>
      <name val="Aptos"/>
      <family val="2"/>
    </font>
    <font>
      <b/>
      <sz val="11"/>
      <color theme="1"/>
      <name val="Aptos"/>
      <family val="2"/>
    </font>
    <font>
      <sz val="11"/>
      <color theme="0"/>
      <name val="Apto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6" fontId="0" fillId="0" borderId="0" xfId="0" applyNumberFormat="1"/>
    <xf numFmtId="8" fontId="0" fillId="0" borderId="0" xfId="0" applyNumberFormat="1"/>
    <xf numFmtId="165" fontId="1" fillId="0" borderId="0" xfId="0" applyNumberFormat="1" applyFont="1"/>
    <xf numFmtId="6" fontId="16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5" formatCode="_(&quot;$&quot;* #,##0_);_(&quot;$&quot;* \(#,##0\);_(&quot;$&quot;* &quot;-&quot;??_);_(@_)"/>
    </dxf>
    <dxf>
      <numFmt numFmtId="10" formatCode="&quot;$&quot;#,##0_);[Red]\(&quot;$&quot;#,##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5" formatCode="_(&quot;$&quot;* #,##0_);_(&quot;$&quot;* \(#,##0\);_(&quot;$&quot;* &quot;-&quot;??_);_(@_)"/>
    </dxf>
    <dxf>
      <numFmt numFmtId="12" formatCode="&quot;$&quot;#,##0.00_);[Red]\(&quot;$&quot;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5" formatCode="_(&quot;$&quot;* #,##0_);_(&quot;$&quot;* \(#,##0\);_(&quot;$&quot;* &quot;-&quot;??_);_(@_)"/>
    </dxf>
    <dxf>
      <numFmt numFmtId="10" formatCode="&quot;$&quot;#,##0_);[Red]\(&quot;$&quot;#,##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5" formatCode="_(&quot;$&quot;* #,##0_);_(&quot;$&quot;* \(#,##0\);_(&quot;$&quot;* &quot;-&quot;??_);_(@_)"/>
    </dxf>
    <dxf>
      <numFmt numFmtId="10" formatCode="&quot;$&quot;#,##0_);[Red]\(&quot;$&quot;#,##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2CAD28-F044-4B7C-82E2-6315C09C866C}" name="Table1" displayName="Table1" ref="B1:M192" totalsRowCount="1">
  <autoFilter ref="B1:M191" xr:uid="{202CAD28-F044-4B7C-82E2-6315C09C866C}">
    <filterColumn colId="0">
      <filters>
        <filter val="DTO-H"/>
        <filter val="DTO-H-MMR"/>
      </filters>
    </filterColumn>
  </autoFilter>
  <tableColumns count="12">
    <tableColumn id="1" xr3:uid="{8F761E2E-7B6A-4538-8E7F-A1F6427F5686}" name="Assignment" totalsRowLabel="Total"/>
    <tableColumn id="2" xr3:uid="{7A2CF086-C27F-41AD-BE2E-7F905C999CF7}" name="Seller"/>
    <tableColumn id="3" xr3:uid="{B1531106-A2B3-487C-BD92-2B4E6B427AA9}" name="OEM"/>
    <tableColumn id="4" xr3:uid="{E706E75A-92B5-43B6-A357-21BE272B549C}" name="Description"/>
    <tableColumn id="5" xr3:uid="{F00CD755-28BE-41D0-9094-5A9704A24340}" name="Procurement Status"/>
    <tableColumn id="6" xr3:uid="{9046F120-7FBE-43E9-9A70-6E478E2D48D5}" name="Quantity Required"/>
    <tableColumn id="7" xr3:uid="{EC792788-D836-473F-888F-42CC87ECC961}" name="Quantity Ordered"/>
    <tableColumn id="8" xr3:uid="{63BEC00B-4587-4925-80DD-51ACAD752A7C}" name="Net Short Quantity"/>
    <tableColumn id="9" xr3:uid="{AE8AE659-46D6-465D-A5ED-77EB52E1FB16}" name="Extended Amount" totalsRowFunction="sum" dataDxfId="7" totalsRowDxfId="6"/>
    <tableColumn id="10" xr3:uid="{A6EDDD30-721B-49E9-BA49-304168444DF1}" name="Extended Amount Outstanding" totalsRowFunction="sum" dataDxfId="5" totalsRowDxfId="4"/>
    <tableColumn id="11" xr3:uid="{297D8DB7-6E4B-4B44-94B2-046A1EB6660A}" name="Unit Price" dataDxfId="3" totalsRowDxfId="2"/>
    <tableColumn id="12" xr3:uid="{90C7AAD2-EC1D-4B6B-89DB-79106C998B8A}" name="Extended" totalsRowFunction="sum" dataDxfId="1" totalsRowDxfId="0">
      <calculatedColumnFormula>Table1[[#This Row],[Unit Price]]*Table1[[#This Row],[Quantity Ordered]]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55420-9CED-488C-AC38-69C670543744}">
  <dimension ref="A1:M192"/>
  <sheetViews>
    <sheetView tabSelected="1" topLeftCell="D1" workbookViewId="0">
      <selection activeCell="M168" sqref="M168:M191"/>
    </sheetView>
  </sheetViews>
  <sheetFormatPr defaultRowHeight="14.4" x14ac:dyDescent="0.3"/>
  <cols>
    <col min="1" max="1" width="7.3984375" bestFit="1" customWidth="1"/>
    <col min="2" max="2" width="12.09765625" customWidth="1"/>
    <col min="3" max="3" width="16.8984375" bestFit="1" customWidth="1"/>
    <col min="4" max="4" width="18.5" bestFit="1" customWidth="1"/>
    <col min="5" max="5" width="36.59765625" customWidth="1"/>
    <col min="6" max="6" width="18.796875" customWidth="1"/>
    <col min="7" max="7" width="17.296875" customWidth="1"/>
    <col min="8" max="8" width="16.59765625" customWidth="1"/>
    <col min="9" max="9" width="17.59765625" customWidth="1"/>
    <col min="10" max="10" width="19.59765625" bestFit="1" customWidth="1"/>
    <col min="11" max="11" width="20.296875" customWidth="1"/>
    <col min="12" max="12" width="19.59765625" bestFit="1" customWidth="1"/>
    <col min="13" max="13" width="15.7968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120</v>
      </c>
    </row>
    <row r="2" spans="1:13" hidden="1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10</v>
      </c>
      <c r="H2">
        <v>10</v>
      </c>
      <c r="I2">
        <v>0</v>
      </c>
      <c r="J2" s="1">
        <v>3529110</v>
      </c>
      <c r="K2" s="1">
        <v>0</v>
      </c>
      <c r="L2" s="2">
        <v>352910.96</v>
      </c>
      <c r="M2" s="1">
        <f>Table1[[#This Row],[Unit Price]]*Table1[[#This Row],[Quantity Ordered]]</f>
        <v>3529109.6</v>
      </c>
    </row>
    <row r="3" spans="1:13" hidden="1" x14ac:dyDescent="0.3">
      <c r="A3" t="s">
        <v>12</v>
      </c>
      <c r="B3" t="s">
        <v>13</v>
      </c>
      <c r="C3" t="s">
        <v>14</v>
      </c>
      <c r="D3" t="s">
        <v>15</v>
      </c>
      <c r="E3" t="s">
        <v>18</v>
      </c>
      <c r="F3" t="s">
        <v>17</v>
      </c>
      <c r="G3">
        <v>9</v>
      </c>
      <c r="H3">
        <v>9</v>
      </c>
      <c r="I3">
        <v>0</v>
      </c>
      <c r="J3" s="1">
        <v>1071091</v>
      </c>
      <c r="K3" s="1">
        <v>0</v>
      </c>
      <c r="L3" s="2">
        <v>119010.13</v>
      </c>
      <c r="M3" s="1">
        <f>Table1[[#This Row],[Unit Price]]*Table1[[#This Row],[Quantity Ordered]]</f>
        <v>1071091.17</v>
      </c>
    </row>
    <row r="4" spans="1:13" hidden="1" x14ac:dyDescent="0.3">
      <c r="A4" t="s">
        <v>12</v>
      </c>
      <c r="B4" t="s">
        <v>13</v>
      </c>
      <c r="C4" t="s">
        <v>14</v>
      </c>
      <c r="D4" t="s">
        <v>15</v>
      </c>
      <c r="E4" t="s">
        <v>19</v>
      </c>
      <c r="F4" t="s">
        <v>17</v>
      </c>
      <c r="G4">
        <v>16</v>
      </c>
      <c r="H4">
        <v>16</v>
      </c>
      <c r="I4">
        <v>0</v>
      </c>
      <c r="J4" s="1">
        <v>1225604</v>
      </c>
      <c r="K4" s="1">
        <v>0</v>
      </c>
      <c r="L4" s="2">
        <v>76600.240000000005</v>
      </c>
      <c r="M4" s="1">
        <f>Table1[[#This Row],[Unit Price]]*Table1[[#This Row],[Quantity Ordered]]</f>
        <v>1225603.8400000001</v>
      </c>
    </row>
    <row r="5" spans="1:13" hidden="1" x14ac:dyDescent="0.3">
      <c r="A5" t="s">
        <v>12</v>
      </c>
      <c r="B5" t="s">
        <v>13</v>
      </c>
      <c r="C5" t="s">
        <v>14</v>
      </c>
      <c r="D5" t="s">
        <v>15</v>
      </c>
      <c r="E5" t="s">
        <v>20</v>
      </c>
      <c r="F5" t="s">
        <v>17</v>
      </c>
      <c r="G5">
        <v>44</v>
      </c>
      <c r="H5">
        <v>44</v>
      </c>
      <c r="I5">
        <v>0</v>
      </c>
      <c r="J5" s="1">
        <v>3370411</v>
      </c>
      <c r="K5" s="1">
        <v>0</v>
      </c>
      <c r="L5" s="2">
        <v>76600.240000000005</v>
      </c>
      <c r="M5" s="1">
        <f>Table1[[#This Row],[Unit Price]]*Table1[[#This Row],[Quantity Ordered]]</f>
        <v>3370410.56</v>
      </c>
    </row>
    <row r="6" spans="1:13" hidden="1" x14ac:dyDescent="0.3">
      <c r="A6" t="s">
        <v>12</v>
      </c>
      <c r="B6" t="s">
        <v>13</v>
      </c>
      <c r="C6" t="s">
        <v>14</v>
      </c>
      <c r="D6" t="s">
        <v>15</v>
      </c>
      <c r="E6" t="s">
        <v>21</v>
      </c>
      <c r="F6" t="s">
        <v>17</v>
      </c>
      <c r="G6">
        <v>44</v>
      </c>
      <c r="H6">
        <v>44</v>
      </c>
      <c r="I6">
        <v>0</v>
      </c>
      <c r="J6" t="s">
        <v>22</v>
      </c>
      <c r="K6" t="s">
        <v>22</v>
      </c>
      <c r="L6" t="s">
        <v>22</v>
      </c>
      <c r="M6" s="1" t="e">
        <f>Table1[[#This Row],[Unit Price]]*Table1[[#This Row],[Quantity Ordered]]</f>
        <v>#VALUE!</v>
      </c>
    </row>
    <row r="7" spans="1:13" hidden="1" x14ac:dyDescent="0.3">
      <c r="A7" t="s">
        <v>12</v>
      </c>
      <c r="B7" t="s">
        <v>13</v>
      </c>
      <c r="C7" t="s">
        <v>23</v>
      </c>
      <c r="D7" t="s">
        <v>23</v>
      </c>
      <c r="E7" t="s">
        <v>24</v>
      </c>
      <c r="F7" t="s">
        <v>17</v>
      </c>
      <c r="G7">
        <v>17</v>
      </c>
      <c r="H7">
        <v>17</v>
      </c>
      <c r="I7">
        <v>0</v>
      </c>
      <c r="J7" s="1">
        <v>1934783</v>
      </c>
      <c r="K7" s="1">
        <v>0</v>
      </c>
      <c r="L7" s="2">
        <v>113810.76</v>
      </c>
      <c r="M7" s="1">
        <f>Table1[[#This Row],[Unit Price]]*Table1[[#This Row],[Quantity Ordered]]</f>
        <v>1934782.92</v>
      </c>
    </row>
    <row r="8" spans="1:13" hidden="1" x14ac:dyDescent="0.3">
      <c r="A8" t="s">
        <v>12</v>
      </c>
      <c r="B8" t="s">
        <v>13</v>
      </c>
      <c r="C8" t="s">
        <v>25</v>
      </c>
      <c r="D8" t="s">
        <v>25</v>
      </c>
      <c r="E8" t="s">
        <v>26</v>
      </c>
      <c r="F8" t="s">
        <v>17</v>
      </c>
      <c r="G8">
        <v>5</v>
      </c>
      <c r="H8">
        <v>5</v>
      </c>
      <c r="I8">
        <v>0</v>
      </c>
      <c r="J8" s="1">
        <v>547475</v>
      </c>
      <c r="K8" s="1">
        <v>0</v>
      </c>
      <c r="L8" s="2">
        <v>109495</v>
      </c>
      <c r="M8" s="1">
        <f>Table1[[#This Row],[Unit Price]]*Table1[[#This Row],[Quantity Ordered]]</f>
        <v>547475</v>
      </c>
    </row>
    <row r="9" spans="1:13" hidden="1" x14ac:dyDescent="0.3">
      <c r="A9" t="s">
        <v>12</v>
      </c>
      <c r="B9" t="s">
        <v>13</v>
      </c>
      <c r="C9" t="s">
        <v>25</v>
      </c>
      <c r="D9" t="s">
        <v>25</v>
      </c>
      <c r="E9" t="s">
        <v>27</v>
      </c>
      <c r="F9" t="s">
        <v>17</v>
      </c>
      <c r="G9">
        <v>3</v>
      </c>
      <c r="H9">
        <v>3</v>
      </c>
      <c r="I9">
        <v>0</v>
      </c>
      <c r="J9" s="1">
        <v>337785</v>
      </c>
      <c r="K9" s="1">
        <v>0</v>
      </c>
      <c r="L9" s="2">
        <v>112595</v>
      </c>
      <c r="M9" s="1">
        <f>Table1[[#This Row],[Unit Price]]*Table1[[#This Row],[Quantity Ordered]]</f>
        <v>337785</v>
      </c>
    </row>
    <row r="10" spans="1:13" hidden="1" x14ac:dyDescent="0.3">
      <c r="A10" t="s">
        <v>12</v>
      </c>
      <c r="B10" t="s">
        <v>13</v>
      </c>
      <c r="C10" t="s">
        <v>28</v>
      </c>
      <c r="D10" t="s">
        <v>29</v>
      </c>
      <c r="E10" t="s">
        <v>30</v>
      </c>
      <c r="F10" t="s">
        <v>17</v>
      </c>
      <c r="G10">
        <v>5</v>
      </c>
      <c r="H10">
        <v>5</v>
      </c>
      <c r="I10">
        <v>0</v>
      </c>
      <c r="J10" s="1">
        <v>7033840</v>
      </c>
      <c r="K10" s="1">
        <v>0</v>
      </c>
      <c r="L10" s="2">
        <v>1406767.94</v>
      </c>
      <c r="M10" s="1">
        <f>Table1[[#This Row],[Unit Price]]*Table1[[#This Row],[Quantity Ordered]]</f>
        <v>7033839.6999999993</v>
      </c>
    </row>
    <row r="11" spans="1:13" hidden="1" x14ac:dyDescent="0.3">
      <c r="A11" t="s">
        <v>12</v>
      </c>
      <c r="B11" t="s">
        <v>13</v>
      </c>
      <c r="C11" t="s">
        <v>28</v>
      </c>
      <c r="D11" t="s">
        <v>29</v>
      </c>
      <c r="E11" t="s">
        <v>31</v>
      </c>
      <c r="F11" t="s">
        <v>17</v>
      </c>
      <c r="G11">
        <v>3</v>
      </c>
      <c r="H11">
        <v>3</v>
      </c>
      <c r="I11">
        <v>0</v>
      </c>
      <c r="J11" s="1">
        <v>4220304</v>
      </c>
      <c r="K11" s="1">
        <v>0</v>
      </c>
      <c r="L11" s="2">
        <v>1406767.94</v>
      </c>
      <c r="M11" s="1">
        <f>Table1[[#This Row],[Unit Price]]*Table1[[#This Row],[Quantity Ordered]]</f>
        <v>4220303.82</v>
      </c>
    </row>
    <row r="12" spans="1:13" hidden="1" x14ac:dyDescent="0.3">
      <c r="A12" t="s">
        <v>12</v>
      </c>
      <c r="B12" t="s">
        <v>13</v>
      </c>
      <c r="C12" t="s">
        <v>32</v>
      </c>
      <c r="D12" t="s">
        <v>33</v>
      </c>
      <c r="E12" t="s">
        <v>34</v>
      </c>
      <c r="F12" t="s">
        <v>17</v>
      </c>
      <c r="G12">
        <v>2</v>
      </c>
      <c r="H12">
        <v>2</v>
      </c>
      <c r="I12">
        <v>0</v>
      </c>
      <c r="J12" s="1">
        <v>133438</v>
      </c>
      <c r="K12" s="1">
        <v>0</v>
      </c>
      <c r="L12" s="2">
        <v>66718.75</v>
      </c>
      <c r="M12" s="1">
        <f>Table1[[#This Row],[Unit Price]]*Table1[[#This Row],[Quantity Ordered]]</f>
        <v>133437.5</v>
      </c>
    </row>
    <row r="13" spans="1:13" hidden="1" x14ac:dyDescent="0.3">
      <c r="A13" t="s">
        <v>12</v>
      </c>
      <c r="B13" t="s">
        <v>13</v>
      </c>
      <c r="C13" t="s">
        <v>32</v>
      </c>
      <c r="D13" t="s">
        <v>35</v>
      </c>
      <c r="E13" t="s">
        <v>36</v>
      </c>
      <c r="F13" t="s">
        <v>17</v>
      </c>
      <c r="G13">
        <v>3</v>
      </c>
      <c r="H13">
        <v>3</v>
      </c>
      <c r="I13">
        <v>0</v>
      </c>
      <c r="J13" s="1">
        <v>34200</v>
      </c>
      <c r="K13" s="1">
        <v>0</v>
      </c>
      <c r="L13" s="2">
        <v>11400</v>
      </c>
      <c r="M13" s="1">
        <f>Table1[[#This Row],[Unit Price]]*Table1[[#This Row],[Quantity Ordered]]</f>
        <v>34200</v>
      </c>
    </row>
    <row r="14" spans="1:13" hidden="1" x14ac:dyDescent="0.3">
      <c r="A14" t="s">
        <v>12</v>
      </c>
      <c r="B14" t="s">
        <v>13</v>
      </c>
      <c r="C14" t="s">
        <v>32</v>
      </c>
      <c r="D14" t="s">
        <v>37</v>
      </c>
      <c r="E14" t="s">
        <v>38</v>
      </c>
      <c r="F14" t="s">
        <v>17</v>
      </c>
      <c r="G14">
        <v>2</v>
      </c>
      <c r="H14">
        <v>2</v>
      </c>
      <c r="I14">
        <v>0</v>
      </c>
      <c r="J14" s="1">
        <v>145600</v>
      </c>
      <c r="K14" s="1">
        <v>0</v>
      </c>
      <c r="L14" s="2">
        <v>72800</v>
      </c>
      <c r="M14" s="1">
        <f>Table1[[#This Row],[Unit Price]]*Table1[[#This Row],[Quantity Ordered]]</f>
        <v>145600</v>
      </c>
    </row>
    <row r="15" spans="1:13" hidden="1" x14ac:dyDescent="0.3">
      <c r="A15" t="s">
        <v>12</v>
      </c>
      <c r="B15" t="s">
        <v>13</v>
      </c>
      <c r="C15" t="s">
        <v>39</v>
      </c>
      <c r="D15" t="s">
        <v>40</v>
      </c>
      <c r="E15" t="s">
        <v>41</v>
      </c>
      <c r="F15" t="s">
        <v>17</v>
      </c>
      <c r="G15">
        <v>9</v>
      </c>
      <c r="H15">
        <v>9</v>
      </c>
      <c r="I15">
        <v>0</v>
      </c>
      <c r="J15" s="1">
        <v>724122</v>
      </c>
      <c r="K15" s="1">
        <v>0</v>
      </c>
      <c r="L15" s="2">
        <v>80458</v>
      </c>
      <c r="M15" s="1">
        <f>Table1[[#This Row],[Unit Price]]*Table1[[#This Row],[Quantity Ordered]]</f>
        <v>724122</v>
      </c>
    </row>
    <row r="16" spans="1:13" hidden="1" x14ac:dyDescent="0.3">
      <c r="A16" t="s">
        <v>12</v>
      </c>
      <c r="B16" t="s">
        <v>13</v>
      </c>
      <c r="C16" t="s">
        <v>39</v>
      </c>
      <c r="D16" t="s">
        <v>42</v>
      </c>
      <c r="E16" t="s">
        <v>43</v>
      </c>
      <c r="F16" t="s">
        <v>17</v>
      </c>
      <c r="G16">
        <v>2</v>
      </c>
      <c r="H16">
        <v>2</v>
      </c>
      <c r="I16">
        <v>0</v>
      </c>
      <c r="J16" s="1">
        <v>815898</v>
      </c>
      <c r="K16" s="1">
        <v>0</v>
      </c>
      <c r="L16" s="2">
        <v>407949</v>
      </c>
      <c r="M16" s="1">
        <f>Table1[[#This Row],[Unit Price]]*Table1[[#This Row],[Quantity Ordered]]</f>
        <v>815898</v>
      </c>
    </row>
    <row r="17" spans="1:13" hidden="1" x14ac:dyDescent="0.3">
      <c r="A17" t="s">
        <v>44</v>
      </c>
      <c r="B17" t="s">
        <v>45</v>
      </c>
      <c r="C17" t="s">
        <v>32</v>
      </c>
      <c r="D17" t="s">
        <v>37</v>
      </c>
      <c r="E17" t="s">
        <v>38</v>
      </c>
      <c r="F17" t="s">
        <v>17</v>
      </c>
      <c r="G17">
        <v>4</v>
      </c>
      <c r="H17">
        <v>4</v>
      </c>
      <c r="I17">
        <v>0</v>
      </c>
      <c r="J17" s="1">
        <v>291200</v>
      </c>
      <c r="K17" s="1">
        <v>0</v>
      </c>
      <c r="L17" s="2">
        <v>72800</v>
      </c>
      <c r="M17" s="1">
        <f>Table1[[#This Row],[Unit Price]]*Table1[[#This Row],[Quantity Ordered]]</f>
        <v>291200</v>
      </c>
    </row>
    <row r="18" spans="1:13" hidden="1" x14ac:dyDescent="0.3">
      <c r="A18" t="s">
        <v>46</v>
      </c>
      <c r="B18" t="s">
        <v>47</v>
      </c>
      <c r="C18" t="s">
        <v>14</v>
      </c>
      <c r="D18" t="s">
        <v>15</v>
      </c>
      <c r="E18" t="s">
        <v>16</v>
      </c>
      <c r="F18" t="s">
        <v>17</v>
      </c>
      <c r="G18">
        <v>42</v>
      </c>
      <c r="H18">
        <v>42</v>
      </c>
      <c r="I18">
        <v>0</v>
      </c>
      <c r="J18" s="1">
        <v>14822260</v>
      </c>
      <c r="K18" s="1">
        <v>0</v>
      </c>
      <c r="L18" s="2">
        <v>352910.96</v>
      </c>
      <c r="M18" s="1">
        <f>Table1[[#This Row],[Unit Price]]*Table1[[#This Row],[Quantity Ordered]]</f>
        <v>14822260.32</v>
      </c>
    </row>
    <row r="19" spans="1:13" hidden="1" x14ac:dyDescent="0.3">
      <c r="A19" t="s">
        <v>46</v>
      </c>
      <c r="B19" t="s">
        <v>47</v>
      </c>
      <c r="C19" t="s">
        <v>14</v>
      </c>
      <c r="D19" t="s">
        <v>15</v>
      </c>
      <c r="E19" t="s">
        <v>18</v>
      </c>
      <c r="F19" t="s">
        <v>17</v>
      </c>
      <c r="G19">
        <v>30</v>
      </c>
      <c r="H19">
        <v>30</v>
      </c>
      <c r="I19">
        <v>0</v>
      </c>
      <c r="J19" s="1">
        <v>3570304</v>
      </c>
      <c r="K19" s="1">
        <v>0</v>
      </c>
      <c r="L19" s="2">
        <v>119010.13</v>
      </c>
      <c r="M19" s="1">
        <f>Table1[[#This Row],[Unit Price]]*Table1[[#This Row],[Quantity Ordered]]</f>
        <v>3570303.9000000004</v>
      </c>
    </row>
    <row r="20" spans="1:13" hidden="1" x14ac:dyDescent="0.3">
      <c r="A20" t="s">
        <v>46</v>
      </c>
      <c r="B20" t="s">
        <v>47</v>
      </c>
      <c r="C20" t="s">
        <v>48</v>
      </c>
      <c r="D20" t="s">
        <v>49</v>
      </c>
      <c r="E20" t="s">
        <v>50</v>
      </c>
      <c r="F20" t="s">
        <v>17</v>
      </c>
      <c r="G20">
        <v>1200</v>
      </c>
      <c r="H20">
        <v>1200</v>
      </c>
      <c r="I20">
        <v>0</v>
      </c>
      <c r="J20" s="1">
        <v>631560</v>
      </c>
      <c r="K20" s="1">
        <v>0</v>
      </c>
      <c r="L20" s="2">
        <v>526.29999999999995</v>
      </c>
      <c r="M20" s="1">
        <f>Table1[[#This Row],[Unit Price]]*Table1[[#This Row],[Quantity Ordered]]</f>
        <v>631560</v>
      </c>
    </row>
    <row r="21" spans="1:13" hidden="1" x14ac:dyDescent="0.3">
      <c r="A21" t="s">
        <v>46</v>
      </c>
      <c r="B21" t="s">
        <v>47</v>
      </c>
      <c r="C21" t="s">
        <v>14</v>
      </c>
      <c r="D21" t="s">
        <v>15</v>
      </c>
      <c r="E21" t="s">
        <v>51</v>
      </c>
      <c r="F21" t="s">
        <v>17</v>
      </c>
      <c r="G21">
        <v>72</v>
      </c>
      <c r="H21">
        <v>212</v>
      </c>
      <c r="I21">
        <v>140</v>
      </c>
      <c r="J21" s="1">
        <v>6670800</v>
      </c>
      <c r="K21" s="1">
        <v>-12971000</v>
      </c>
      <c r="L21" s="2">
        <v>92650</v>
      </c>
      <c r="M21" s="1">
        <f>Table1[[#This Row],[Unit Price]]*Table1[[#This Row],[Quantity Ordered]]</f>
        <v>19641800</v>
      </c>
    </row>
    <row r="22" spans="1:13" hidden="1" x14ac:dyDescent="0.3">
      <c r="A22" t="s">
        <v>46</v>
      </c>
      <c r="B22" t="s">
        <v>47</v>
      </c>
      <c r="C22" t="s">
        <v>14</v>
      </c>
      <c r="D22" t="s">
        <v>15</v>
      </c>
      <c r="E22" t="s">
        <v>20</v>
      </c>
      <c r="F22" t="s">
        <v>17</v>
      </c>
      <c r="G22">
        <v>16</v>
      </c>
      <c r="H22">
        <v>16</v>
      </c>
      <c r="I22">
        <v>0</v>
      </c>
      <c r="J22" s="1">
        <v>1225604</v>
      </c>
      <c r="K22" s="1">
        <v>0</v>
      </c>
      <c r="L22" s="2">
        <v>76600.240000000005</v>
      </c>
      <c r="M22" s="1">
        <f>Table1[[#This Row],[Unit Price]]*Table1[[#This Row],[Quantity Ordered]]</f>
        <v>1225603.8400000001</v>
      </c>
    </row>
    <row r="23" spans="1:13" hidden="1" x14ac:dyDescent="0.3">
      <c r="A23" t="s">
        <v>46</v>
      </c>
      <c r="B23" t="s">
        <v>47</v>
      </c>
      <c r="C23" t="s">
        <v>14</v>
      </c>
      <c r="D23" t="s">
        <v>15</v>
      </c>
      <c r="E23" t="s">
        <v>19</v>
      </c>
      <c r="F23" t="s">
        <v>17</v>
      </c>
      <c r="G23">
        <v>2</v>
      </c>
      <c r="H23">
        <v>2</v>
      </c>
      <c r="I23">
        <v>0</v>
      </c>
      <c r="J23" s="1">
        <v>153200</v>
      </c>
      <c r="K23" s="1">
        <v>0</v>
      </c>
      <c r="L23" s="2">
        <v>76600.240000000005</v>
      </c>
      <c r="M23" s="1">
        <f>Table1[[#This Row],[Unit Price]]*Table1[[#This Row],[Quantity Ordered]]</f>
        <v>153200.48000000001</v>
      </c>
    </row>
    <row r="24" spans="1:13" hidden="1" x14ac:dyDescent="0.3">
      <c r="A24" t="s">
        <v>46</v>
      </c>
      <c r="B24" t="s">
        <v>47</v>
      </c>
      <c r="C24" t="s">
        <v>14</v>
      </c>
      <c r="D24" t="s">
        <v>15</v>
      </c>
      <c r="E24" t="s">
        <v>52</v>
      </c>
      <c r="F24" t="s">
        <v>17</v>
      </c>
      <c r="G24">
        <v>72</v>
      </c>
      <c r="H24">
        <v>72</v>
      </c>
      <c r="I24">
        <v>0</v>
      </c>
      <c r="J24" s="1">
        <v>5515217</v>
      </c>
      <c r="K24" s="1">
        <v>0</v>
      </c>
      <c r="L24" s="2">
        <v>76600.240000000005</v>
      </c>
      <c r="M24" s="1">
        <f>Table1[[#This Row],[Unit Price]]*Table1[[#This Row],[Quantity Ordered]]</f>
        <v>5515217.2800000003</v>
      </c>
    </row>
    <row r="25" spans="1:13" hidden="1" x14ac:dyDescent="0.3">
      <c r="A25" t="s">
        <v>46</v>
      </c>
      <c r="B25" t="s">
        <v>47</v>
      </c>
      <c r="C25" t="s">
        <v>14</v>
      </c>
      <c r="D25" t="s">
        <v>15</v>
      </c>
      <c r="E25" t="s">
        <v>21</v>
      </c>
      <c r="F25" t="s">
        <v>17</v>
      </c>
      <c r="G25">
        <v>72</v>
      </c>
      <c r="H25">
        <v>72</v>
      </c>
      <c r="I25">
        <v>0</v>
      </c>
      <c r="J25" t="s">
        <v>22</v>
      </c>
      <c r="K25" t="s">
        <v>22</v>
      </c>
      <c r="L25" t="s">
        <v>22</v>
      </c>
      <c r="M25" s="1" t="e">
        <f>Table1[[#This Row],[Unit Price]]*Table1[[#This Row],[Quantity Ordered]]</f>
        <v>#VALUE!</v>
      </c>
    </row>
    <row r="26" spans="1:13" hidden="1" x14ac:dyDescent="0.3">
      <c r="A26" t="s">
        <v>46</v>
      </c>
      <c r="B26" t="s">
        <v>47</v>
      </c>
      <c r="C26" t="s">
        <v>14</v>
      </c>
      <c r="D26" t="s">
        <v>53</v>
      </c>
      <c r="E26" t="s">
        <v>54</v>
      </c>
      <c r="F26" t="s">
        <v>17</v>
      </c>
      <c r="G26">
        <v>4</v>
      </c>
      <c r="H26">
        <v>4</v>
      </c>
      <c r="I26">
        <v>0</v>
      </c>
      <c r="J26" s="1">
        <v>9800000</v>
      </c>
      <c r="K26" s="1">
        <v>0</v>
      </c>
      <c r="L26" s="2">
        <v>2450000</v>
      </c>
      <c r="M26" s="1">
        <f>Table1[[#This Row],[Unit Price]]*Table1[[#This Row],[Quantity Ordered]]</f>
        <v>9800000</v>
      </c>
    </row>
    <row r="27" spans="1:13" hidden="1" x14ac:dyDescent="0.3">
      <c r="A27" t="s">
        <v>46</v>
      </c>
      <c r="B27" t="s">
        <v>47</v>
      </c>
      <c r="C27" t="s">
        <v>55</v>
      </c>
      <c r="D27" t="s">
        <v>55</v>
      </c>
      <c r="E27" t="s">
        <v>56</v>
      </c>
      <c r="F27" t="s">
        <v>17</v>
      </c>
      <c r="G27">
        <v>1114</v>
      </c>
      <c r="H27">
        <v>1114</v>
      </c>
      <c r="I27">
        <v>0</v>
      </c>
      <c r="J27" s="1">
        <v>1038248</v>
      </c>
      <c r="K27" s="1">
        <v>0</v>
      </c>
      <c r="L27" s="2">
        <v>932</v>
      </c>
      <c r="M27" s="1">
        <f>Table1[[#This Row],[Unit Price]]*Table1[[#This Row],[Quantity Ordered]]</f>
        <v>1038248</v>
      </c>
    </row>
    <row r="28" spans="1:13" hidden="1" x14ac:dyDescent="0.3">
      <c r="A28" t="s">
        <v>46</v>
      </c>
      <c r="B28" t="s">
        <v>47</v>
      </c>
      <c r="C28" t="s">
        <v>55</v>
      </c>
      <c r="D28" t="s">
        <v>55</v>
      </c>
      <c r="E28" t="s">
        <v>57</v>
      </c>
      <c r="F28" t="s">
        <v>17</v>
      </c>
      <c r="G28">
        <v>72</v>
      </c>
      <c r="H28">
        <v>72</v>
      </c>
      <c r="I28">
        <v>0</v>
      </c>
      <c r="J28" t="s">
        <v>58</v>
      </c>
      <c r="K28" t="s">
        <v>58</v>
      </c>
      <c r="L28" t="s">
        <v>58</v>
      </c>
      <c r="M28" s="1" t="e">
        <f>Table1[[#This Row],[Unit Price]]*Table1[[#This Row],[Quantity Ordered]]</f>
        <v>#VALUE!</v>
      </c>
    </row>
    <row r="29" spans="1:13" hidden="1" x14ac:dyDescent="0.3">
      <c r="A29" t="s">
        <v>46</v>
      </c>
      <c r="B29" t="s">
        <v>47</v>
      </c>
      <c r="C29" t="s">
        <v>23</v>
      </c>
      <c r="D29" t="s">
        <v>23</v>
      </c>
      <c r="E29" t="s">
        <v>59</v>
      </c>
      <c r="F29" t="s">
        <v>17</v>
      </c>
      <c r="G29">
        <v>30</v>
      </c>
      <c r="H29">
        <v>30</v>
      </c>
      <c r="I29">
        <v>0</v>
      </c>
      <c r="J29" s="1">
        <v>17500846</v>
      </c>
      <c r="K29" s="1">
        <v>0</v>
      </c>
      <c r="L29" s="2">
        <v>583361.53</v>
      </c>
      <c r="M29" s="1">
        <f>Table1[[#This Row],[Unit Price]]*Table1[[#This Row],[Quantity Ordered]]</f>
        <v>17500845.900000002</v>
      </c>
    </row>
    <row r="30" spans="1:13" hidden="1" x14ac:dyDescent="0.3">
      <c r="A30" t="s">
        <v>46</v>
      </c>
      <c r="B30" t="s">
        <v>47</v>
      </c>
      <c r="C30" t="s">
        <v>23</v>
      </c>
      <c r="D30" t="s">
        <v>23</v>
      </c>
      <c r="E30" t="s">
        <v>24</v>
      </c>
      <c r="F30" t="s">
        <v>17</v>
      </c>
      <c r="G30">
        <v>38</v>
      </c>
      <c r="H30">
        <v>38</v>
      </c>
      <c r="I30">
        <v>0</v>
      </c>
      <c r="J30" s="1">
        <v>4324809</v>
      </c>
      <c r="K30" s="1">
        <v>0</v>
      </c>
      <c r="L30" s="2">
        <v>113810.76</v>
      </c>
      <c r="M30" s="1">
        <f>Table1[[#This Row],[Unit Price]]*Table1[[#This Row],[Quantity Ordered]]</f>
        <v>4324808.88</v>
      </c>
    </row>
    <row r="31" spans="1:13" hidden="1" x14ac:dyDescent="0.3">
      <c r="A31" t="s">
        <v>46</v>
      </c>
      <c r="B31" t="s">
        <v>47</v>
      </c>
      <c r="C31" t="s">
        <v>25</v>
      </c>
      <c r="D31" t="s">
        <v>25</v>
      </c>
      <c r="E31" t="s">
        <v>60</v>
      </c>
      <c r="F31" t="s">
        <v>17</v>
      </c>
      <c r="G31">
        <v>21</v>
      </c>
      <c r="H31">
        <v>21</v>
      </c>
      <c r="I31">
        <v>0</v>
      </c>
      <c r="J31" s="1">
        <v>440880</v>
      </c>
      <c r="K31" s="1">
        <v>0</v>
      </c>
      <c r="L31" s="2">
        <v>20994.28</v>
      </c>
      <c r="M31" s="1">
        <f>Table1[[#This Row],[Unit Price]]*Table1[[#This Row],[Quantity Ordered]]</f>
        <v>440879.88</v>
      </c>
    </row>
    <row r="32" spans="1:13" hidden="1" x14ac:dyDescent="0.3">
      <c r="A32" t="s">
        <v>46</v>
      </c>
      <c r="B32" t="s">
        <v>47</v>
      </c>
      <c r="C32" t="s">
        <v>25</v>
      </c>
      <c r="D32" t="s">
        <v>25</v>
      </c>
      <c r="E32" t="s">
        <v>61</v>
      </c>
      <c r="F32" t="s">
        <v>17</v>
      </c>
      <c r="G32">
        <v>10</v>
      </c>
      <c r="H32">
        <v>10</v>
      </c>
      <c r="I32">
        <v>0</v>
      </c>
      <c r="J32" s="1">
        <v>209943</v>
      </c>
      <c r="K32" s="1">
        <v>0</v>
      </c>
      <c r="L32" s="2">
        <v>20994.28</v>
      </c>
      <c r="M32" s="1">
        <f>Table1[[#This Row],[Unit Price]]*Table1[[#This Row],[Quantity Ordered]]</f>
        <v>209942.8</v>
      </c>
    </row>
    <row r="33" spans="1:13" hidden="1" x14ac:dyDescent="0.3">
      <c r="A33" t="s">
        <v>46</v>
      </c>
      <c r="B33" t="s">
        <v>47</v>
      </c>
      <c r="C33" t="s">
        <v>28</v>
      </c>
      <c r="D33" t="s">
        <v>29</v>
      </c>
      <c r="E33" t="s">
        <v>31</v>
      </c>
      <c r="F33" t="s">
        <v>17</v>
      </c>
      <c r="G33">
        <v>10</v>
      </c>
      <c r="H33">
        <v>10</v>
      </c>
      <c r="I33">
        <v>0</v>
      </c>
      <c r="J33" s="1">
        <v>14067679</v>
      </c>
      <c r="K33" s="1">
        <v>0</v>
      </c>
      <c r="L33" s="2">
        <v>1406767.94</v>
      </c>
      <c r="M33" s="1">
        <f>Table1[[#This Row],[Unit Price]]*Table1[[#This Row],[Quantity Ordered]]</f>
        <v>14067679.399999999</v>
      </c>
    </row>
    <row r="34" spans="1:13" hidden="1" x14ac:dyDescent="0.3">
      <c r="A34" t="s">
        <v>46</v>
      </c>
      <c r="B34" t="s">
        <v>47</v>
      </c>
      <c r="C34" t="s">
        <v>28</v>
      </c>
      <c r="D34" t="s">
        <v>29</v>
      </c>
      <c r="E34" t="s">
        <v>30</v>
      </c>
      <c r="F34" t="s">
        <v>17</v>
      </c>
      <c r="G34">
        <v>21</v>
      </c>
      <c r="H34">
        <v>21</v>
      </c>
      <c r="I34">
        <v>0</v>
      </c>
      <c r="J34" s="1">
        <v>29542127</v>
      </c>
      <c r="K34" s="1">
        <v>0</v>
      </c>
      <c r="L34" s="2">
        <v>1406767.94</v>
      </c>
      <c r="M34" s="1">
        <f>Table1[[#This Row],[Unit Price]]*Table1[[#This Row],[Quantity Ordered]]</f>
        <v>29542126.739999998</v>
      </c>
    </row>
    <row r="35" spans="1:13" hidden="1" x14ac:dyDescent="0.3">
      <c r="A35" t="s">
        <v>46</v>
      </c>
      <c r="B35" t="s">
        <v>47</v>
      </c>
      <c r="C35" t="s">
        <v>32</v>
      </c>
      <c r="D35" t="s">
        <v>33</v>
      </c>
      <c r="E35" t="s">
        <v>62</v>
      </c>
      <c r="F35" t="s">
        <v>17</v>
      </c>
      <c r="G35">
        <v>2</v>
      </c>
      <c r="H35">
        <v>2</v>
      </c>
      <c r="I35">
        <v>0</v>
      </c>
      <c r="J35" s="1">
        <v>133438</v>
      </c>
      <c r="K35" s="1">
        <v>0</v>
      </c>
      <c r="L35" s="2">
        <v>66718.75</v>
      </c>
      <c r="M35" s="1">
        <f>Table1[[#This Row],[Unit Price]]*Table1[[#This Row],[Quantity Ordered]]</f>
        <v>133437.5</v>
      </c>
    </row>
    <row r="36" spans="1:13" hidden="1" x14ac:dyDescent="0.3">
      <c r="A36" t="s">
        <v>46</v>
      </c>
      <c r="B36" t="s">
        <v>47</v>
      </c>
      <c r="C36" t="s">
        <v>32</v>
      </c>
      <c r="D36" t="s">
        <v>35</v>
      </c>
      <c r="E36" t="s">
        <v>36</v>
      </c>
      <c r="F36" t="s">
        <v>17</v>
      </c>
      <c r="G36">
        <v>4</v>
      </c>
      <c r="H36">
        <v>4</v>
      </c>
      <c r="I36">
        <v>0</v>
      </c>
      <c r="J36" s="1">
        <v>38843</v>
      </c>
      <c r="K36" s="1">
        <v>0</v>
      </c>
      <c r="L36" s="2">
        <v>9710.7099999999991</v>
      </c>
      <c r="M36" s="1">
        <f>Table1[[#This Row],[Unit Price]]*Table1[[#This Row],[Quantity Ordered]]</f>
        <v>38842.839999999997</v>
      </c>
    </row>
    <row r="37" spans="1:13" hidden="1" x14ac:dyDescent="0.3">
      <c r="A37" t="s">
        <v>46</v>
      </c>
      <c r="B37" t="s">
        <v>47</v>
      </c>
      <c r="C37" t="s">
        <v>32</v>
      </c>
      <c r="D37" t="s">
        <v>37</v>
      </c>
      <c r="E37" t="s">
        <v>38</v>
      </c>
      <c r="F37" t="s">
        <v>17</v>
      </c>
      <c r="G37">
        <v>2</v>
      </c>
      <c r="H37">
        <v>2</v>
      </c>
      <c r="I37">
        <v>0</v>
      </c>
      <c r="J37" s="1">
        <v>145600</v>
      </c>
      <c r="K37" s="1">
        <v>0</v>
      </c>
      <c r="L37" s="2">
        <v>72800</v>
      </c>
      <c r="M37" s="1">
        <f>Table1[[#This Row],[Unit Price]]*Table1[[#This Row],[Quantity Ordered]]</f>
        <v>145600</v>
      </c>
    </row>
    <row r="38" spans="1:13" hidden="1" x14ac:dyDescent="0.3">
      <c r="A38" t="s">
        <v>46</v>
      </c>
      <c r="B38" t="s">
        <v>47</v>
      </c>
      <c r="C38" t="s">
        <v>39</v>
      </c>
      <c r="D38" t="s">
        <v>40</v>
      </c>
      <c r="E38" t="s">
        <v>41</v>
      </c>
      <c r="F38" t="s">
        <v>17</v>
      </c>
      <c r="G38">
        <v>30</v>
      </c>
      <c r="H38">
        <v>30</v>
      </c>
      <c r="I38">
        <v>0</v>
      </c>
      <c r="J38" s="1">
        <v>2413740</v>
      </c>
      <c r="K38" s="1">
        <v>0</v>
      </c>
      <c r="L38" s="2">
        <v>80458</v>
      </c>
      <c r="M38" s="1">
        <f>Table1[[#This Row],[Unit Price]]*Table1[[#This Row],[Quantity Ordered]]</f>
        <v>2413740</v>
      </c>
    </row>
    <row r="39" spans="1:13" hidden="1" x14ac:dyDescent="0.3">
      <c r="A39" t="s">
        <v>46</v>
      </c>
      <c r="B39" t="s">
        <v>47</v>
      </c>
      <c r="C39" t="s">
        <v>39</v>
      </c>
      <c r="D39" t="s">
        <v>42</v>
      </c>
      <c r="E39" t="s">
        <v>63</v>
      </c>
      <c r="F39" t="s">
        <v>17</v>
      </c>
      <c r="G39">
        <v>4</v>
      </c>
      <c r="H39">
        <v>4</v>
      </c>
      <c r="I39">
        <v>0</v>
      </c>
      <c r="J39" s="1">
        <v>1631796</v>
      </c>
      <c r="K39" s="1">
        <v>0</v>
      </c>
      <c r="L39" s="2">
        <v>407949</v>
      </c>
      <c r="M39" s="1">
        <f>Table1[[#This Row],[Unit Price]]*Table1[[#This Row],[Quantity Ordered]]</f>
        <v>1631796</v>
      </c>
    </row>
    <row r="40" spans="1:13" hidden="1" x14ac:dyDescent="0.3">
      <c r="A40" t="s">
        <v>64</v>
      </c>
      <c r="B40" t="s">
        <v>65</v>
      </c>
      <c r="C40" t="s">
        <v>32</v>
      </c>
      <c r="D40" t="s">
        <v>37</v>
      </c>
      <c r="E40" t="s">
        <v>38</v>
      </c>
      <c r="F40" t="s">
        <v>17</v>
      </c>
      <c r="G40">
        <v>4</v>
      </c>
      <c r="H40">
        <v>4</v>
      </c>
      <c r="I40">
        <v>0</v>
      </c>
      <c r="J40" s="1">
        <v>291200</v>
      </c>
      <c r="K40" s="1">
        <v>0</v>
      </c>
      <c r="L40" s="2">
        <v>72800</v>
      </c>
      <c r="M40" s="1">
        <f>Table1[[#This Row],[Unit Price]]*Table1[[#This Row],[Quantity Ordered]]</f>
        <v>291200</v>
      </c>
    </row>
    <row r="41" spans="1:13" hidden="1" x14ac:dyDescent="0.3">
      <c r="A41" t="s">
        <v>66</v>
      </c>
      <c r="B41" t="s">
        <v>67</v>
      </c>
      <c r="C41" t="s">
        <v>14</v>
      </c>
      <c r="D41" t="s">
        <v>15</v>
      </c>
      <c r="E41" t="s">
        <v>51</v>
      </c>
      <c r="F41" t="s">
        <v>17</v>
      </c>
      <c r="G41">
        <v>72</v>
      </c>
      <c r="H41">
        <v>72</v>
      </c>
      <c r="I41">
        <v>0</v>
      </c>
      <c r="J41" s="1">
        <v>6670800</v>
      </c>
      <c r="K41" s="1">
        <v>0</v>
      </c>
      <c r="L41" s="2">
        <v>92650</v>
      </c>
      <c r="M41" s="1">
        <f>Table1[[#This Row],[Unit Price]]*Table1[[#This Row],[Quantity Ordered]]</f>
        <v>6670800</v>
      </c>
    </row>
    <row r="42" spans="1:13" hidden="1" x14ac:dyDescent="0.3">
      <c r="A42" t="s">
        <v>66</v>
      </c>
      <c r="B42" t="s">
        <v>67</v>
      </c>
      <c r="C42" t="s">
        <v>14</v>
      </c>
      <c r="D42" t="s">
        <v>15</v>
      </c>
      <c r="E42" t="s">
        <v>16</v>
      </c>
      <c r="F42" t="s">
        <v>17</v>
      </c>
      <c r="G42">
        <v>42</v>
      </c>
      <c r="H42">
        <v>42</v>
      </c>
      <c r="I42">
        <v>0</v>
      </c>
      <c r="J42" s="1">
        <v>14822260</v>
      </c>
      <c r="K42" s="1">
        <v>0</v>
      </c>
      <c r="L42" s="2">
        <v>352910.96</v>
      </c>
      <c r="M42" s="1">
        <f>Table1[[#This Row],[Unit Price]]*Table1[[#This Row],[Quantity Ordered]]</f>
        <v>14822260.32</v>
      </c>
    </row>
    <row r="43" spans="1:13" hidden="1" x14ac:dyDescent="0.3">
      <c r="A43" t="s">
        <v>66</v>
      </c>
      <c r="B43" t="s">
        <v>67</v>
      </c>
      <c r="C43" t="s">
        <v>14</v>
      </c>
      <c r="D43" t="s">
        <v>15</v>
      </c>
      <c r="E43" t="s">
        <v>18</v>
      </c>
      <c r="F43" t="s">
        <v>17</v>
      </c>
      <c r="G43">
        <v>30</v>
      </c>
      <c r="H43">
        <v>30</v>
      </c>
      <c r="I43">
        <v>0</v>
      </c>
      <c r="J43" s="1">
        <v>3570304</v>
      </c>
      <c r="K43" s="1">
        <v>0</v>
      </c>
      <c r="L43" s="2">
        <v>119010.13</v>
      </c>
      <c r="M43" s="1">
        <f>Table1[[#This Row],[Unit Price]]*Table1[[#This Row],[Quantity Ordered]]</f>
        <v>3570303.9000000004</v>
      </c>
    </row>
    <row r="44" spans="1:13" hidden="1" x14ac:dyDescent="0.3">
      <c r="A44" t="s">
        <v>66</v>
      </c>
      <c r="B44" t="s">
        <v>67</v>
      </c>
      <c r="C44" t="s">
        <v>14</v>
      </c>
      <c r="D44" t="s">
        <v>15</v>
      </c>
      <c r="E44" t="s">
        <v>19</v>
      </c>
      <c r="F44" t="s">
        <v>17</v>
      </c>
      <c r="G44">
        <v>2</v>
      </c>
      <c r="H44">
        <v>2</v>
      </c>
      <c r="I44">
        <v>0</v>
      </c>
      <c r="J44" s="1">
        <v>153200</v>
      </c>
      <c r="K44" s="1">
        <v>0</v>
      </c>
      <c r="L44" s="2">
        <v>76600.240000000005</v>
      </c>
      <c r="M44" s="1">
        <f>Table1[[#This Row],[Unit Price]]*Table1[[#This Row],[Quantity Ordered]]</f>
        <v>153200.48000000001</v>
      </c>
    </row>
    <row r="45" spans="1:13" hidden="1" x14ac:dyDescent="0.3">
      <c r="A45" t="s">
        <v>66</v>
      </c>
      <c r="B45" t="s">
        <v>67</v>
      </c>
      <c r="C45" t="s">
        <v>14</v>
      </c>
      <c r="D45" t="s">
        <v>15</v>
      </c>
      <c r="E45" t="s">
        <v>20</v>
      </c>
      <c r="F45" t="s">
        <v>17</v>
      </c>
      <c r="G45">
        <v>16</v>
      </c>
      <c r="H45">
        <v>16</v>
      </c>
      <c r="I45">
        <v>0</v>
      </c>
      <c r="J45" s="1">
        <v>1225604</v>
      </c>
      <c r="K45" s="1">
        <v>0</v>
      </c>
      <c r="L45" s="2">
        <v>76600.240000000005</v>
      </c>
      <c r="M45" s="1">
        <f>Table1[[#This Row],[Unit Price]]*Table1[[#This Row],[Quantity Ordered]]</f>
        <v>1225603.8400000001</v>
      </c>
    </row>
    <row r="46" spans="1:13" hidden="1" x14ac:dyDescent="0.3">
      <c r="A46" t="s">
        <v>66</v>
      </c>
      <c r="B46" t="s">
        <v>67</v>
      </c>
      <c r="C46" t="s">
        <v>14</v>
      </c>
      <c r="D46" t="s">
        <v>15</v>
      </c>
      <c r="E46" t="s">
        <v>52</v>
      </c>
      <c r="F46" t="s">
        <v>17</v>
      </c>
      <c r="G46">
        <v>72</v>
      </c>
      <c r="H46">
        <v>72</v>
      </c>
      <c r="I46">
        <v>0</v>
      </c>
      <c r="J46" s="1">
        <v>5515217</v>
      </c>
      <c r="K46" s="1">
        <v>0</v>
      </c>
      <c r="L46" s="2">
        <v>76600.240000000005</v>
      </c>
      <c r="M46" s="1">
        <f>Table1[[#This Row],[Unit Price]]*Table1[[#This Row],[Quantity Ordered]]</f>
        <v>5515217.2800000003</v>
      </c>
    </row>
    <row r="47" spans="1:13" hidden="1" x14ac:dyDescent="0.3">
      <c r="A47" t="s">
        <v>66</v>
      </c>
      <c r="B47" t="s">
        <v>67</v>
      </c>
      <c r="C47" t="s">
        <v>14</v>
      </c>
      <c r="D47" t="s">
        <v>15</v>
      </c>
      <c r="E47" t="s">
        <v>21</v>
      </c>
      <c r="F47" t="s">
        <v>17</v>
      </c>
      <c r="G47">
        <v>72</v>
      </c>
      <c r="H47">
        <v>72</v>
      </c>
      <c r="I47">
        <v>0</v>
      </c>
      <c r="J47" t="s">
        <v>22</v>
      </c>
      <c r="K47" t="s">
        <v>22</v>
      </c>
      <c r="L47" t="s">
        <v>22</v>
      </c>
      <c r="M47" s="1" t="e">
        <f>Table1[[#This Row],[Unit Price]]*Table1[[#This Row],[Quantity Ordered]]</f>
        <v>#VALUE!</v>
      </c>
    </row>
    <row r="48" spans="1:13" hidden="1" x14ac:dyDescent="0.3">
      <c r="A48" t="s">
        <v>66</v>
      </c>
      <c r="B48" t="s">
        <v>67</v>
      </c>
      <c r="C48" t="s">
        <v>48</v>
      </c>
      <c r="D48" t="s">
        <v>49</v>
      </c>
      <c r="E48" t="s">
        <v>50</v>
      </c>
      <c r="F48" t="s">
        <v>17</v>
      </c>
      <c r="G48">
        <v>1200</v>
      </c>
      <c r="H48">
        <v>1200</v>
      </c>
      <c r="I48">
        <v>0</v>
      </c>
      <c r="J48" s="1">
        <v>631560</v>
      </c>
      <c r="K48" s="1">
        <v>0</v>
      </c>
      <c r="L48" s="2">
        <v>526.29999999999995</v>
      </c>
      <c r="M48" s="1">
        <f>Table1[[#This Row],[Unit Price]]*Table1[[#This Row],[Quantity Ordered]]</f>
        <v>631560</v>
      </c>
    </row>
    <row r="49" spans="1:13" hidden="1" x14ac:dyDescent="0.3">
      <c r="A49" t="s">
        <v>66</v>
      </c>
      <c r="B49" t="s">
        <v>67</v>
      </c>
      <c r="C49" t="s">
        <v>14</v>
      </c>
      <c r="D49" t="s">
        <v>53</v>
      </c>
      <c r="E49" t="s">
        <v>54</v>
      </c>
      <c r="F49" t="s">
        <v>17</v>
      </c>
      <c r="G49">
        <v>4</v>
      </c>
      <c r="H49">
        <v>4</v>
      </c>
      <c r="I49">
        <v>0</v>
      </c>
      <c r="J49" s="1">
        <v>9800000</v>
      </c>
      <c r="K49" s="1">
        <v>0</v>
      </c>
      <c r="L49" s="2">
        <v>2450000</v>
      </c>
      <c r="M49" s="1">
        <f>Table1[[#This Row],[Unit Price]]*Table1[[#This Row],[Quantity Ordered]]</f>
        <v>9800000</v>
      </c>
    </row>
    <row r="50" spans="1:13" hidden="1" x14ac:dyDescent="0.3">
      <c r="A50" t="s">
        <v>66</v>
      </c>
      <c r="B50" t="s">
        <v>67</v>
      </c>
      <c r="C50" t="s">
        <v>55</v>
      </c>
      <c r="D50" t="s">
        <v>55</v>
      </c>
      <c r="E50" t="s">
        <v>56</v>
      </c>
      <c r="F50" t="s">
        <v>17</v>
      </c>
      <c r="G50">
        <v>1108</v>
      </c>
      <c r="H50">
        <v>1108</v>
      </c>
      <c r="I50">
        <v>0</v>
      </c>
      <c r="J50" s="1">
        <v>1032656</v>
      </c>
      <c r="K50" s="1">
        <v>0</v>
      </c>
      <c r="L50" s="2">
        <v>932</v>
      </c>
      <c r="M50" s="1">
        <f>Table1[[#This Row],[Unit Price]]*Table1[[#This Row],[Quantity Ordered]]</f>
        <v>1032656</v>
      </c>
    </row>
    <row r="51" spans="1:13" hidden="1" x14ac:dyDescent="0.3">
      <c r="A51" t="s">
        <v>66</v>
      </c>
      <c r="B51" t="s">
        <v>67</v>
      </c>
      <c r="C51" t="s">
        <v>55</v>
      </c>
      <c r="D51" t="s">
        <v>55</v>
      </c>
      <c r="E51" t="s">
        <v>57</v>
      </c>
      <c r="F51" t="s">
        <v>17</v>
      </c>
      <c r="G51">
        <v>72</v>
      </c>
      <c r="H51">
        <v>72</v>
      </c>
      <c r="I51">
        <v>0</v>
      </c>
      <c r="J51" t="s">
        <v>58</v>
      </c>
      <c r="K51" t="s">
        <v>58</v>
      </c>
      <c r="L51" t="s">
        <v>58</v>
      </c>
      <c r="M51" s="1" t="e">
        <f>Table1[[#This Row],[Unit Price]]*Table1[[#This Row],[Quantity Ordered]]</f>
        <v>#VALUE!</v>
      </c>
    </row>
    <row r="52" spans="1:13" hidden="1" x14ac:dyDescent="0.3">
      <c r="A52" t="s">
        <v>66</v>
      </c>
      <c r="B52" t="s">
        <v>67</v>
      </c>
      <c r="C52" t="s">
        <v>23</v>
      </c>
      <c r="D52" t="s">
        <v>23</v>
      </c>
      <c r="E52" t="s">
        <v>59</v>
      </c>
      <c r="F52" t="s">
        <v>17</v>
      </c>
      <c r="G52">
        <v>30</v>
      </c>
      <c r="H52">
        <v>30</v>
      </c>
      <c r="I52">
        <v>0</v>
      </c>
      <c r="J52" s="1">
        <v>17500846</v>
      </c>
      <c r="K52" s="1">
        <v>0</v>
      </c>
      <c r="L52" s="2">
        <v>583361.53</v>
      </c>
      <c r="M52" s="1">
        <f>Table1[[#This Row],[Unit Price]]*Table1[[#This Row],[Quantity Ordered]]</f>
        <v>17500845.900000002</v>
      </c>
    </row>
    <row r="53" spans="1:13" hidden="1" x14ac:dyDescent="0.3">
      <c r="A53" t="s">
        <v>66</v>
      </c>
      <c r="B53" t="s">
        <v>67</v>
      </c>
      <c r="C53" t="s">
        <v>23</v>
      </c>
      <c r="D53" t="s">
        <v>23</v>
      </c>
      <c r="E53" t="s">
        <v>24</v>
      </c>
      <c r="F53" t="s">
        <v>17</v>
      </c>
      <c r="G53">
        <v>38</v>
      </c>
      <c r="H53">
        <v>38</v>
      </c>
      <c r="I53">
        <v>0</v>
      </c>
      <c r="J53" s="1">
        <v>4324809</v>
      </c>
      <c r="K53" s="1">
        <v>0</v>
      </c>
      <c r="L53" s="2">
        <v>113810.76</v>
      </c>
      <c r="M53" s="1">
        <f>Table1[[#This Row],[Unit Price]]*Table1[[#This Row],[Quantity Ordered]]</f>
        <v>4324808.88</v>
      </c>
    </row>
    <row r="54" spans="1:13" hidden="1" x14ac:dyDescent="0.3">
      <c r="A54" t="s">
        <v>66</v>
      </c>
      <c r="B54" t="s">
        <v>67</v>
      </c>
      <c r="C54" t="s">
        <v>25</v>
      </c>
      <c r="D54" t="s">
        <v>25</v>
      </c>
      <c r="E54" t="s">
        <v>60</v>
      </c>
      <c r="F54" t="s">
        <v>17</v>
      </c>
      <c r="G54">
        <v>21</v>
      </c>
      <c r="H54">
        <v>21</v>
      </c>
      <c r="I54">
        <v>0</v>
      </c>
      <c r="J54" s="1">
        <v>440880</v>
      </c>
      <c r="K54" s="1">
        <v>0</v>
      </c>
      <c r="L54" s="2">
        <v>20994.28</v>
      </c>
      <c r="M54" s="1">
        <f>Table1[[#This Row],[Unit Price]]*Table1[[#This Row],[Quantity Ordered]]</f>
        <v>440879.88</v>
      </c>
    </row>
    <row r="55" spans="1:13" hidden="1" x14ac:dyDescent="0.3">
      <c r="A55" t="s">
        <v>66</v>
      </c>
      <c r="B55" t="s">
        <v>67</v>
      </c>
      <c r="C55" t="s">
        <v>25</v>
      </c>
      <c r="D55" t="s">
        <v>25</v>
      </c>
      <c r="E55" t="s">
        <v>61</v>
      </c>
      <c r="F55" t="s">
        <v>17</v>
      </c>
      <c r="G55">
        <v>10</v>
      </c>
      <c r="H55">
        <v>10</v>
      </c>
      <c r="I55">
        <v>0</v>
      </c>
      <c r="J55" s="1">
        <v>209943</v>
      </c>
      <c r="K55" s="1">
        <v>0</v>
      </c>
      <c r="L55" s="2">
        <v>20994.28</v>
      </c>
      <c r="M55" s="1">
        <f>Table1[[#This Row],[Unit Price]]*Table1[[#This Row],[Quantity Ordered]]</f>
        <v>209942.8</v>
      </c>
    </row>
    <row r="56" spans="1:13" hidden="1" x14ac:dyDescent="0.3">
      <c r="A56" t="s">
        <v>66</v>
      </c>
      <c r="B56" t="s">
        <v>67</v>
      </c>
      <c r="C56" t="s">
        <v>28</v>
      </c>
      <c r="D56" t="s">
        <v>29</v>
      </c>
      <c r="E56" t="s">
        <v>30</v>
      </c>
      <c r="F56" t="s">
        <v>17</v>
      </c>
      <c r="G56">
        <v>21</v>
      </c>
      <c r="H56">
        <v>21</v>
      </c>
      <c r="I56">
        <v>0</v>
      </c>
      <c r="J56" s="1">
        <v>29542127</v>
      </c>
      <c r="K56" s="1">
        <v>0</v>
      </c>
      <c r="L56" s="2">
        <v>1406767.94</v>
      </c>
      <c r="M56" s="1">
        <f>Table1[[#This Row],[Unit Price]]*Table1[[#This Row],[Quantity Ordered]]</f>
        <v>29542126.739999998</v>
      </c>
    </row>
    <row r="57" spans="1:13" hidden="1" x14ac:dyDescent="0.3">
      <c r="A57" t="s">
        <v>66</v>
      </c>
      <c r="B57" t="s">
        <v>67</v>
      </c>
      <c r="C57" t="s">
        <v>28</v>
      </c>
      <c r="D57" t="s">
        <v>29</v>
      </c>
      <c r="E57" t="s">
        <v>31</v>
      </c>
      <c r="F57" t="s">
        <v>17</v>
      </c>
      <c r="G57">
        <v>10</v>
      </c>
      <c r="H57">
        <v>10</v>
      </c>
      <c r="I57">
        <v>0</v>
      </c>
      <c r="J57" s="1">
        <v>14067679</v>
      </c>
      <c r="K57" s="1">
        <v>0</v>
      </c>
      <c r="L57" s="2">
        <v>1406767.94</v>
      </c>
      <c r="M57" s="1">
        <f>Table1[[#This Row],[Unit Price]]*Table1[[#This Row],[Quantity Ordered]]</f>
        <v>14067679.399999999</v>
      </c>
    </row>
    <row r="58" spans="1:13" hidden="1" x14ac:dyDescent="0.3">
      <c r="A58" t="s">
        <v>66</v>
      </c>
      <c r="B58" t="s">
        <v>67</v>
      </c>
      <c r="C58" t="s">
        <v>32</v>
      </c>
      <c r="D58" t="s">
        <v>33</v>
      </c>
      <c r="E58" t="s">
        <v>62</v>
      </c>
      <c r="F58" t="s">
        <v>17</v>
      </c>
      <c r="G58">
        <v>2</v>
      </c>
      <c r="H58">
        <v>2</v>
      </c>
      <c r="I58">
        <v>0</v>
      </c>
      <c r="J58" s="1">
        <v>133438</v>
      </c>
      <c r="K58" s="1">
        <v>0</v>
      </c>
      <c r="L58" s="2">
        <v>66718.75</v>
      </c>
      <c r="M58" s="1">
        <f>Table1[[#This Row],[Unit Price]]*Table1[[#This Row],[Quantity Ordered]]</f>
        <v>133437.5</v>
      </c>
    </row>
    <row r="59" spans="1:13" hidden="1" x14ac:dyDescent="0.3">
      <c r="A59" t="s">
        <v>66</v>
      </c>
      <c r="B59" t="s">
        <v>67</v>
      </c>
      <c r="C59" t="s">
        <v>32</v>
      </c>
      <c r="D59" t="s">
        <v>35</v>
      </c>
      <c r="E59" t="s">
        <v>36</v>
      </c>
      <c r="F59" t="s">
        <v>17</v>
      </c>
      <c r="G59">
        <v>4</v>
      </c>
      <c r="H59">
        <v>4</v>
      </c>
      <c r="I59">
        <v>0</v>
      </c>
      <c r="J59" s="1">
        <v>38843</v>
      </c>
      <c r="K59" s="1">
        <v>0</v>
      </c>
      <c r="L59" s="2">
        <v>9710.7099999999991</v>
      </c>
      <c r="M59" s="1">
        <f>Table1[[#This Row],[Unit Price]]*Table1[[#This Row],[Quantity Ordered]]</f>
        <v>38842.839999999997</v>
      </c>
    </row>
    <row r="60" spans="1:13" hidden="1" x14ac:dyDescent="0.3">
      <c r="A60" t="s">
        <v>66</v>
      </c>
      <c r="B60" t="s">
        <v>67</v>
      </c>
      <c r="C60" t="s">
        <v>32</v>
      </c>
      <c r="D60" t="s">
        <v>37</v>
      </c>
      <c r="E60" t="s">
        <v>38</v>
      </c>
      <c r="F60" t="s">
        <v>17</v>
      </c>
      <c r="G60">
        <v>2</v>
      </c>
      <c r="H60">
        <v>2</v>
      </c>
      <c r="I60">
        <v>0</v>
      </c>
      <c r="J60" s="1">
        <v>145600</v>
      </c>
      <c r="K60" s="1">
        <v>0</v>
      </c>
      <c r="L60" s="2">
        <v>72800</v>
      </c>
      <c r="M60" s="1">
        <f>Table1[[#This Row],[Unit Price]]*Table1[[#This Row],[Quantity Ordered]]</f>
        <v>145600</v>
      </c>
    </row>
    <row r="61" spans="1:13" hidden="1" x14ac:dyDescent="0.3">
      <c r="A61" t="s">
        <v>66</v>
      </c>
      <c r="B61" t="s">
        <v>67</v>
      </c>
      <c r="C61" t="s">
        <v>39</v>
      </c>
      <c r="D61" t="s">
        <v>40</v>
      </c>
      <c r="E61" t="s">
        <v>41</v>
      </c>
      <c r="F61" t="s">
        <v>17</v>
      </c>
      <c r="G61">
        <v>30</v>
      </c>
      <c r="H61">
        <v>30</v>
      </c>
      <c r="I61">
        <v>0</v>
      </c>
      <c r="J61" s="1">
        <v>2413740</v>
      </c>
      <c r="K61" s="1">
        <v>0</v>
      </c>
      <c r="L61" s="2">
        <v>80458</v>
      </c>
      <c r="M61" s="1">
        <f>Table1[[#This Row],[Unit Price]]*Table1[[#This Row],[Quantity Ordered]]</f>
        <v>2413740</v>
      </c>
    </row>
    <row r="62" spans="1:13" hidden="1" x14ac:dyDescent="0.3">
      <c r="A62" t="s">
        <v>66</v>
      </c>
      <c r="B62" t="s">
        <v>67</v>
      </c>
      <c r="C62" t="s">
        <v>39</v>
      </c>
      <c r="D62" t="s">
        <v>42</v>
      </c>
      <c r="E62" t="s">
        <v>63</v>
      </c>
      <c r="F62" t="s">
        <v>17</v>
      </c>
      <c r="G62">
        <v>4</v>
      </c>
      <c r="H62">
        <v>4</v>
      </c>
      <c r="I62">
        <v>0</v>
      </c>
      <c r="J62" s="1">
        <v>1631796</v>
      </c>
      <c r="K62" s="1">
        <v>0</v>
      </c>
      <c r="L62" s="2">
        <v>407949</v>
      </c>
      <c r="M62" s="1">
        <f>Table1[[#This Row],[Unit Price]]*Table1[[#This Row],[Quantity Ordered]]</f>
        <v>1631796</v>
      </c>
    </row>
    <row r="63" spans="1:13" hidden="1" x14ac:dyDescent="0.3">
      <c r="A63" t="s">
        <v>68</v>
      </c>
      <c r="B63" t="s">
        <v>69</v>
      </c>
      <c r="C63" t="s">
        <v>32</v>
      </c>
      <c r="D63" t="s">
        <v>37</v>
      </c>
      <c r="E63" t="s">
        <v>38</v>
      </c>
      <c r="F63" t="s">
        <v>17</v>
      </c>
      <c r="G63">
        <v>4</v>
      </c>
      <c r="H63">
        <v>4</v>
      </c>
      <c r="I63">
        <v>0</v>
      </c>
      <c r="J63" s="1">
        <v>291200</v>
      </c>
      <c r="K63" s="1">
        <v>0</v>
      </c>
      <c r="L63" s="2">
        <v>72800</v>
      </c>
      <c r="M63" s="1">
        <f>Table1[[#This Row],[Unit Price]]*Table1[[#This Row],[Quantity Ordered]]</f>
        <v>291200</v>
      </c>
    </row>
    <row r="64" spans="1:13" hidden="1" x14ac:dyDescent="0.3">
      <c r="A64" t="s">
        <v>70</v>
      </c>
      <c r="B64" t="s">
        <v>71</v>
      </c>
      <c r="C64" t="s">
        <v>14</v>
      </c>
      <c r="D64" t="s">
        <v>15</v>
      </c>
      <c r="E64" t="s">
        <v>16</v>
      </c>
      <c r="F64" t="s">
        <v>17</v>
      </c>
      <c r="G64">
        <v>42</v>
      </c>
      <c r="H64">
        <v>42</v>
      </c>
      <c r="I64">
        <v>0</v>
      </c>
      <c r="J64" s="1">
        <v>14822260</v>
      </c>
      <c r="K64" s="1">
        <v>0</v>
      </c>
      <c r="L64" s="2">
        <v>352910.96</v>
      </c>
      <c r="M64" s="1">
        <f>Table1[[#This Row],[Unit Price]]*Table1[[#This Row],[Quantity Ordered]]</f>
        <v>14822260.32</v>
      </c>
    </row>
    <row r="65" spans="1:13" hidden="1" x14ac:dyDescent="0.3">
      <c r="A65" t="s">
        <v>70</v>
      </c>
      <c r="B65" t="s">
        <v>71</v>
      </c>
      <c r="C65" t="s">
        <v>14</v>
      </c>
      <c r="D65" t="s">
        <v>15</v>
      </c>
      <c r="E65" t="s">
        <v>18</v>
      </c>
      <c r="F65" t="s">
        <v>17</v>
      </c>
      <c r="G65">
        <v>30</v>
      </c>
      <c r="H65">
        <v>30</v>
      </c>
      <c r="I65">
        <v>0</v>
      </c>
      <c r="J65" s="1">
        <v>3570304</v>
      </c>
      <c r="K65" s="1">
        <v>0</v>
      </c>
      <c r="L65" s="2">
        <v>119010.13</v>
      </c>
      <c r="M65" s="1">
        <f>Table1[[#This Row],[Unit Price]]*Table1[[#This Row],[Quantity Ordered]]</f>
        <v>3570303.9000000004</v>
      </c>
    </row>
    <row r="66" spans="1:13" hidden="1" x14ac:dyDescent="0.3">
      <c r="A66" t="s">
        <v>70</v>
      </c>
      <c r="B66" t="s">
        <v>71</v>
      </c>
      <c r="C66" t="s">
        <v>14</v>
      </c>
      <c r="D66" t="s">
        <v>15</v>
      </c>
      <c r="E66" t="s">
        <v>51</v>
      </c>
      <c r="F66" t="s">
        <v>17</v>
      </c>
      <c r="G66">
        <v>72</v>
      </c>
      <c r="H66">
        <v>72</v>
      </c>
      <c r="I66">
        <v>0</v>
      </c>
      <c r="J66" s="1">
        <v>6670800</v>
      </c>
      <c r="K66" s="1">
        <v>0</v>
      </c>
      <c r="L66" s="2">
        <v>92650</v>
      </c>
      <c r="M66" s="1">
        <f>Table1[[#This Row],[Unit Price]]*Table1[[#This Row],[Quantity Ordered]]</f>
        <v>6670800</v>
      </c>
    </row>
    <row r="67" spans="1:13" hidden="1" x14ac:dyDescent="0.3">
      <c r="A67" t="s">
        <v>70</v>
      </c>
      <c r="B67" t="s">
        <v>71</v>
      </c>
      <c r="C67" t="s">
        <v>14</v>
      </c>
      <c r="D67" t="s">
        <v>15</v>
      </c>
      <c r="E67" t="s">
        <v>19</v>
      </c>
      <c r="F67" t="s">
        <v>17</v>
      </c>
      <c r="G67">
        <v>2</v>
      </c>
      <c r="H67">
        <v>2</v>
      </c>
      <c r="I67">
        <v>0</v>
      </c>
      <c r="J67" s="1">
        <v>153200</v>
      </c>
      <c r="K67" s="1">
        <v>0</v>
      </c>
      <c r="L67" s="2">
        <v>76600.240000000005</v>
      </c>
      <c r="M67" s="1">
        <f>Table1[[#This Row],[Unit Price]]*Table1[[#This Row],[Quantity Ordered]]</f>
        <v>153200.48000000001</v>
      </c>
    </row>
    <row r="68" spans="1:13" hidden="1" x14ac:dyDescent="0.3">
      <c r="A68" t="s">
        <v>70</v>
      </c>
      <c r="B68" t="s">
        <v>71</v>
      </c>
      <c r="C68" t="s">
        <v>14</v>
      </c>
      <c r="D68" t="s">
        <v>15</v>
      </c>
      <c r="E68" t="s">
        <v>20</v>
      </c>
      <c r="F68" t="s">
        <v>17</v>
      </c>
      <c r="G68">
        <v>16</v>
      </c>
      <c r="H68">
        <v>16</v>
      </c>
      <c r="I68">
        <v>0</v>
      </c>
      <c r="J68" s="1">
        <v>1225604</v>
      </c>
      <c r="K68" s="1">
        <v>0</v>
      </c>
      <c r="L68" s="2">
        <v>76600.240000000005</v>
      </c>
      <c r="M68" s="1">
        <f>Table1[[#This Row],[Unit Price]]*Table1[[#This Row],[Quantity Ordered]]</f>
        <v>1225603.8400000001</v>
      </c>
    </row>
    <row r="69" spans="1:13" hidden="1" x14ac:dyDescent="0.3">
      <c r="A69" t="s">
        <v>70</v>
      </c>
      <c r="B69" t="s">
        <v>71</v>
      </c>
      <c r="C69" t="s">
        <v>14</v>
      </c>
      <c r="D69" t="s">
        <v>15</v>
      </c>
      <c r="E69" t="s">
        <v>52</v>
      </c>
      <c r="F69" t="s">
        <v>17</v>
      </c>
      <c r="G69">
        <v>72</v>
      </c>
      <c r="H69">
        <v>72</v>
      </c>
      <c r="I69">
        <v>0</v>
      </c>
      <c r="J69" s="1">
        <v>5515217</v>
      </c>
      <c r="K69" s="1">
        <v>0</v>
      </c>
      <c r="L69" s="2">
        <v>76600.240000000005</v>
      </c>
      <c r="M69" s="1">
        <f>Table1[[#This Row],[Unit Price]]*Table1[[#This Row],[Quantity Ordered]]</f>
        <v>5515217.2800000003</v>
      </c>
    </row>
    <row r="70" spans="1:13" hidden="1" x14ac:dyDescent="0.3">
      <c r="A70" t="s">
        <v>70</v>
      </c>
      <c r="B70" t="s">
        <v>71</v>
      </c>
      <c r="C70" t="s">
        <v>14</v>
      </c>
      <c r="D70" t="s">
        <v>15</v>
      </c>
      <c r="E70" t="s">
        <v>21</v>
      </c>
      <c r="F70" t="s">
        <v>17</v>
      </c>
      <c r="G70">
        <v>72</v>
      </c>
      <c r="H70">
        <v>72</v>
      </c>
      <c r="I70">
        <v>0</v>
      </c>
      <c r="J70" t="s">
        <v>22</v>
      </c>
      <c r="K70" t="s">
        <v>22</v>
      </c>
      <c r="L70" t="s">
        <v>22</v>
      </c>
      <c r="M70" s="1" t="e">
        <f>Table1[[#This Row],[Unit Price]]*Table1[[#This Row],[Quantity Ordered]]</f>
        <v>#VALUE!</v>
      </c>
    </row>
    <row r="71" spans="1:13" hidden="1" x14ac:dyDescent="0.3">
      <c r="A71" t="s">
        <v>70</v>
      </c>
      <c r="B71" t="s">
        <v>71</v>
      </c>
      <c r="C71" t="s">
        <v>14</v>
      </c>
      <c r="D71" t="s">
        <v>53</v>
      </c>
      <c r="E71" t="s">
        <v>54</v>
      </c>
      <c r="F71" t="s">
        <v>17</v>
      </c>
      <c r="G71">
        <v>4</v>
      </c>
      <c r="H71">
        <v>4</v>
      </c>
      <c r="I71">
        <v>0</v>
      </c>
      <c r="J71" s="1">
        <v>9800000</v>
      </c>
      <c r="K71" s="1">
        <v>0</v>
      </c>
      <c r="L71" s="2">
        <v>2450000</v>
      </c>
      <c r="M71" s="1">
        <f>Table1[[#This Row],[Unit Price]]*Table1[[#This Row],[Quantity Ordered]]</f>
        <v>9800000</v>
      </c>
    </row>
    <row r="72" spans="1:13" hidden="1" x14ac:dyDescent="0.3">
      <c r="A72" t="s">
        <v>70</v>
      </c>
      <c r="B72" t="s">
        <v>71</v>
      </c>
      <c r="C72" t="s">
        <v>55</v>
      </c>
      <c r="D72" t="s">
        <v>55</v>
      </c>
      <c r="E72" t="s">
        <v>56</v>
      </c>
      <c r="F72" t="s">
        <v>17</v>
      </c>
      <c r="G72">
        <v>1108</v>
      </c>
      <c r="H72">
        <v>1108</v>
      </c>
      <c r="I72">
        <v>0</v>
      </c>
      <c r="J72" s="1">
        <v>1032656</v>
      </c>
      <c r="K72" s="1">
        <v>0</v>
      </c>
      <c r="L72" s="2">
        <v>932</v>
      </c>
      <c r="M72" s="1">
        <f>Table1[[#This Row],[Unit Price]]*Table1[[#This Row],[Quantity Ordered]]</f>
        <v>1032656</v>
      </c>
    </row>
    <row r="73" spans="1:13" hidden="1" x14ac:dyDescent="0.3">
      <c r="A73" t="s">
        <v>70</v>
      </c>
      <c r="B73" t="s">
        <v>71</v>
      </c>
      <c r="C73" t="s">
        <v>55</v>
      </c>
      <c r="D73" t="s">
        <v>55</v>
      </c>
      <c r="E73" t="s">
        <v>57</v>
      </c>
      <c r="F73" t="s">
        <v>17</v>
      </c>
      <c r="G73">
        <v>72</v>
      </c>
      <c r="H73">
        <v>72</v>
      </c>
      <c r="I73">
        <v>0</v>
      </c>
      <c r="J73" t="s">
        <v>58</v>
      </c>
      <c r="K73" t="s">
        <v>58</v>
      </c>
      <c r="L73" t="s">
        <v>58</v>
      </c>
      <c r="M73" s="1" t="e">
        <f>Table1[[#This Row],[Unit Price]]*Table1[[#This Row],[Quantity Ordered]]</f>
        <v>#VALUE!</v>
      </c>
    </row>
    <row r="74" spans="1:13" hidden="1" x14ac:dyDescent="0.3">
      <c r="A74" t="s">
        <v>70</v>
      </c>
      <c r="B74" t="s">
        <v>71</v>
      </c>
      <c r="C74" t="s">
        <v>23</v>
      </c>
      <c r="D74" t="s">
        <v>23</v>
      </c>
      <c r="E74" t="s">
        <v>59</v>
      </c>
      <c r="F74" t="s">
        <v>17</v>
      </c>
      <c r="G74">
        <v>30</v>
      </c>
      <c r="H74">
        <v>30</v>
      </c>
      <c r="I74">
        <v>0</v>
      </c>
      <c r="J74" s="1">
        <v>17500846</v>
      </c>
      <c r="K74" s="1">
        <v>0</v>
      </c>
      <c r="L74" s="2">
        <v>583361.53</v>
      </c>
      <c r="M74" s="1">
        <f>Table1[[#This Row],[Unit Price]]*Table1[[#This Row],[Quantity Ordered]]</f>
        <v>17500845.900000002</v>
      </c>
    </row>
    <row r="75" spans="1:13" hidden="1" x14ac:dyDescent="0.3">
      <c r="A75" t="s">
        <v>70</v>
      </c>
      <c r="B75" t="s">
        <v>71</v>
      </c>
      <c r="C75" t="s">
        <v>23</v>
      </c>
      <c r="D75" t="s">
        <v>23</v>
      </c>
      <c r="E75" t="s">
        <v>24</v>
      </c>
      <c r="F75" t="s">
        <v>17</v>
      </c>
      <c r="G75">
        <v>38</v>
      </c>
      <c r="H75">
        <v>38</v>
      </c>
      <c r="I75">
        <v>0</v>
      </c>
      <c r="J75" s="1">
        <v>4324809</v>
      </c>
      <c r="K75" s="1">
        <v>0</v>
      </c>
      <c r="L75" s="2">
        <v>113810.76</v>
      </c>
      <c r="M75" s="1">
        <f>Table1[[#This Row],[Unit Price]]*Table1[[#This Row],[Quantity Ordered]]</f>
        <v>4324808.88</v>
      </c>
    </row>
    <row r="76" spans="1:13" hidden="1" x14ac:dyDescent="0.3">
      <c r="A76" t="s">
        <v>70</v>
      </c>
      <c r="B76" t="s">
        <v>71</v>
      </c>
      <c r="C76" t="s">
        <v>25</v>
      </c>
      <c r="D76" t="s">
        <v>72</v>
      </c>
      <c r="E76" t="s">
        <v>73</v>
      </c>
      <c r="F76" t="s">
        <v>17</v>
      </c>
      <c r="G76">
        <v>21</v>
      </c>
      <c r="H76">
        <v>21</v>
      </c>
      <c r="I76">
        <v>0</v>
      </c>
      <c r="J76" s="1">
        <v>440880</v>
      </c>
      <c r="K76" s="1">
        <v>0</v>
      </c>
      <c r="L76" s="2">
        <v>20994.28</v>
      </c>
      <c r="M76" s="1">
        <f>Table1[[#This Row],[Unit Price]]*Table1[[#This Row],[Quantity Ordered]]</f>
        <v>440879.88</v>
      </c>
    </row>
    <row r="77" spans="1:13" hidden="1" x14ac:dyDescent="0.3">
      <c r="A77" t="s">
        <v>70</v>
      </c>
      <c r="B77" t="s">
        <v>71</v>
      </c>
      <c r="C77" t="s">
        <v>25</v>
      </c>
      <c r="D77" t="s">
        <v>72</v>
      </c>
      <c r="E77" t="s">
        <v>74</v>
      </c>
      <c r="F77" t="s">
        <v>17</v>
      </c>
      <c r="G77">
        <v>10</v>
      </c>
      <c r="H77">
        <v>10</v>
      </c>
      <c r="I77">
        <v>0</v>
      </c>
      <c r="J77" s="1">
        <v>209943</v>
      </c>
      <c r="K77" s="1">
        <v>0</v>
      </c>
      <c r="L77" s="2">
        <v>20994.28</v>
      </c>
      <c r="M77" s="1">
        <f>Table1[[#This Row],[Unit Price]]*Table1[[#This Row],[Quantity Ordered]]</f>
        <v>209942.8</v>
      </c>
    </row>
    <row r="78" spans="1:13" hidden="1" x14ac:dyDescent="0.3">
      <c r="A78" t="s">
        <v>70</v>
      </c>
      <c r="B78" t="s">
        <v>71</v>
      </c>
      <c r="C78" t="s">
        <v>28</v>
      </c>
      <c r="D78" t="s">
        <v>29</v>
      </c>
      <c r="E78" t="s">
        <v>30</v>
      </c>
      <c r="F78" t="s">
        <v>17</v>
      </c>
      <c r="G78">
        <v>21</v>
      </c>
      <c r="H78">
        <v>21</v>
      </c>
      <c r="I78">
        <v>0</v>
      </c>
      <c r="J78" s="1">
        <v>29542127</v>
      </c>
      <c r="K78" s="1">
        <v>0</v>
      </c>
      <c r="L78" s="2">
        <v>1406767.94</v>
      </c>
      <c r="M78" s="1">
        <f>Table1[[#This Row],[Unit Price]]*Table1[[#This Row],[Quantity Ordered]]</f>
        <v>29542126.739999998</v>
      </c>
    </row>
    <row r="79" spans="1:13" hidden="1" x14ac:dyDescent="0.3">
      <c r="A79" t="s">
        <v>70</v>
      </c>
      <c r="B79" t="s">
        <v>71</v>
      </c>
      <c r="C79" t="s">
        <v>28</v>
      </c>
      <c r="D79" t="s">
        <v>29</v>
      </c>
      <c r="E79" t="s">
        <v>31</v>
      </c>
      <c r="F79" t="s">
        <v>17</v>
      </c>
      <c r="G79">
        <v>10</v>
      </c>
      <c r="H79">
        <v>10</v>
      </c>
      <c r="I79">
        <v>0</v>
      </c>
      <c r="J79" s="1">
        <v>14067679</v>
      </c>
      <c r="K79" s="1">
        <v>0</v>
      </c>
      <c r="L79" s="2">
        <v>1406767.94</v>
      </c>
      <c r="M79" s="1">
        <f>Table1[[#This Row],[Unit Price]]*Table1[[#This Row],[Quantity Ordered]]</f>
        <v>14067679.399999999</v>
      </c>
    </row>
    <row r="80" spans="1:13" hidden="1" x14ac:dyDescent="0.3">
      <c r="A80" t="s">
        <v>70</v>
      </c>
      <c r="B80" t="s">
        <v>71</v>
      </c>
      <c r="C80" t="s">
        <v>32</v>
      </c>
      <c r="D80" t="s">
        <v>33</v>
      </c>
      <c r="E80" t="s">
        <v>62</v>
      </c>
      <c r="F80" t="s">
        <v>17</v>
      </c>
      <c r="G80">
        <v>2</v>
      </c>
      <c r="H80">
        <v>2</v>
      </c>
      <c r="I80">
        <v>0</v>
      </c>
      <c r="J80" s="1">
        <v>133438</v>
      </c>
      <c r="K80" s="1">
        <v>0</v>
      </c>
      <c r="L80" s="2">
        <v>66718.75</v>
      </c>
      <c r="M80" s="1">
        <f>Table1[[#This Row],[Unit Price]]*Table1[[#This Row],[Quantity Ordered]]</f>
        <v>133437.5</v>
      </c>
    </row>
    <row r="81" spans="1:13" hidden="1" x14ac:dyDescent="0.3">
      <c r="A81" t="s">
        <v>70</v>
      </c>
      <c r="B81" t="s">
        <v>71</v>
      </c>
      <c r="C81" t="s">
        <v>48</v>
      </c>
      <c r="D81" t="s">
        <v>49</v>
      </c>
      <c r="E81" t="s">
        <v>50</v>
      </c>
      <c r="F81" t="s">
        <v>17</v>
      </c>
      <c r="G81">
        <v>1200</v>
      </c>
      <c r="H81">
        <v>1200</v>
      </c>
      <c r="I81">
        <v>0</v>
      </c>
      <c r="J81" s="1">
        <v>631560</v>
      </c>
      <c r="K81" s="1">
        <v>0</v>
      </c>
      <c r="L81" s="2">
        <v>526.29999999999995</v>
      </c>
      <c r="M81" s="1">
        <f>Table1[[#This Row],[Unit Price]]*Table1[[#This Row],[Quantity Ordered]]</f>
        <v>631560</v>
      </c>
    </row>
    <row r="82" spans="1:13" hidden="1" x14ac:dyDescent="0.3">
      <c r="A82" t="s">
        <v>70</v>
      </c>
      <c r="B82" t="s">
        <v>71</v>
      </c>
      <c r="C82" t="s">
        <v>32</v>
      </c>
      <c r="D82" t="s">
        <v>35</v>
      </c>
      <c r="E82" t="s">
        <v>36</v>
      </c>
      <c r="F82" t="s">
        <v>17</v>
      </c>
      <c r="G82">
        <v>4</v>
      </c>
      <c r="H82">
        <v>4</v>
      </c>
      <c r="I82">
        <v>0</v>
      </c>
      <c r="J82" s="1">
        <v>38843</v>
      </c>
      <c r="K82" s="1">
        <v>0</v>
      </c>
      <c r="L82" s="2">
        <v>9710.7099999999991</v>
      </c>
      <c r="M82" s="1">
        <f>Table1[[#This Row],[Unit Price]]*Table1[[#This Row],[Quantity Ordered]]</f>
        <v>38842.839999999997</v>
      </c>
    </row>
    <row r="83" spans="1:13" hidden="1" x14ac:dyDescent="0.3">
      <c r="A83" t="s">
        <v>70</v>
      </c>
      <c r="B83" t="s">
        <v>71</v>
      </c>
      <c r="C83" t="s">
        <v>32</v>
      </c>
      <c r="D83" t="s">
        <v>37</v>
      </c>
      <c r="E83" t="s">
        <v>38</v>
      </c>
      <c r="F83" t="s">
        <v>17</v>
      </c>
      <c r="G83">
        <v>2</v>
      </c>
      <c r="H83">
        <v>2</v>
      </c>
      <c r="I83">
        <v>0</v>
      </c>
      <c r="J83" s="1">
        <v>145600</v>
      </c>
      <c r="K83" s="1">
        <v>0</v>
      </c>
      <c r="L83" s="2">
        <v>72800</v>
      </c>
      <c r="M83" s="1">
        <f>Table1[[#This Row],[Unit Price]]*Table1[[#This Row],[Quantity Ordered]]</f>
        <v>145600</v>
      </c>
    </row>
    <row r="84" spans="1:13" hidden="1" x14ac:dyDescent="0.3">
      <c r="A84" t="s">
        <v>70</v>
      </c>
      <c r="B84" t="s">
        <v>71</v>
      </c>
      <c r="C84" t="s">
        <v>39</v>
      </c>
      <c r="D84" t="s">
        <v>40</v>
      </c>
      <c r="E84" t="s">
        <v>41</v>
      </c>
      <c r="F84" t="s">
        <v>17</v>
      </c>
      <c r="G84">
        <v>30</v>
      </c>
      <c r="H84">
        <v>30</v>
      </c>
      <c r="I84">
        <v>0</v>
      </c>
      <c r="J84" s="1">
        <v>2413740</v>
      </c>
      <c r="K84" s="1">
        <v>0</v>
      </c>
      <c r="L84" s="2">
        <v>80458</v>
      </c>
      <c r="M84" s="1">
        <f>Table1[[#This Row],[Unit Price]]*Table1[[#This Row],[Quantity Ordered]]</f>
        <v>2413740</v>
      </c>
    </row>
    <row r="85" spans="1:13" hidden="1" x14ac:dyDescent="0.3">
      <c r="A85" t="s">
        <v>70</v>
      </c>
      <c r="B85" t="s">
        <v>71</v>
      </c>
      <c r="C85" t="s">
        <v>39</v>
      </c>
      <c r="D85" t="s">
        <v>42</v>
      </c>
      <c r="E85" t="s">
        <v>75</v>
      </c>
      <c r="F85" t="s">
        <v>17</v>
      </c>
      <c r="G85">
        <v>4</v>
      </c>
      <c r="H85">
        <v>4</v>
      </c>
      <c r="I85">
        <v>0</v>
      </c>
      <c r="J85" s="1">
        <v>1631796</v>
      </c>
      <c r="K85" s="1">
        <v>0</v>
      </c>
      <c r="L85" s="2">
        <v>407949</v>
      </c>
      <c r="M85" s="1">
        <f>Table1[[#This Row],[Unit Price]]*Table1[[#This Row],[Quantity Ordered]]</f>
        <v>1631796</v>
      </c>
    </row>
    <row r="86" spans="1:13" hidden="1" x14ac:dyDescent="0.3">
      <c r="A86" t="s">
        <v>70</v>
      </c>
      <c r="B86" t="s">
        <v>71</v>
      </c>
      <c r="C86" t="s">
        <v>28</v>
      </c>
      <c r="D86" t="s">
        <v>76</v>
      </c>
      <c r="E86" t="s">
        <v>77</v>
      </c>
      <c r="F86" t="s">
        <v>17</v>
      </c>
      <c r="G86">
        <v>6</v>
      </c>
      <c r="H86">
        <v>6</v>
      </c>
      <c r="I86">
        <v>0</v>
      </c>
      <c r="J86" s="1">
        <v>1100000</v>
      </c>
      <c r="K86" s="1">
        <v>0</v>
      </c>
      <c r="L86" s="2">
        <v>183333.33</v>
      </c>
      <c r="M86" s="1">
        <f>Table1[[#This Row],[Unit Price]]*Table1[[#This Row],[Quantity Ordered]]</f>
        <v>1099999.98</v>
      </c>
    </row>
    <row r="87" spans="1:13" hidden="1" x14ac:dyDescent="0.3">
      <c r="A87" t="s">
        <v>70</v>
      </c>
      <c r="B87" t="s">
        <v>71</v>
      </c>
      <c r="C87" t="s">
        <v>28</v>
      </c>
      <c r="D87" t="s">
        <v>76</v>
      </c>
      <c r="E87" t="s">
        <v>78</v>
      </c>
      <c r="F87" t="s">
        <v>17</v>
      </c>
      <c r="G87">
        <v>6</v>
      </c>
      <c r="H87">
        <v>6</v>
      </c>
      <c r="I87">
        <v>0</v>
      </c>
      <c r="J87" s="1">
        <v>1100000</v>
      </c>
      <c r="K87" s="1">
        <v>0</v>
      </c>
      <c r="L87" s="2">
        <v>183333.33</v>
      </c>
      <c r="M87" s="1">
        <f>Table1[[#This Row],[Unit Price]]*Table1[[#This Row],[Quantity Ordered]]</f>
        <v>1099999.98</v>
      </c>
    </row>
    <row r="88" spans="1:13" hidden="1" x14ac:dyDescent="0.3">
      <c r="A88" t="s">
        <v>79</v>
      </c>
      <c r="B88" t="s">
        <v>80</v>
      </c>
      <c r="C88" t="s">
        <v>32</v>
      </c>
      <c r="D88" t="s">
        <v>37</v>
      </c>
      <c r="E88" t="s">
        <v>38</v>
      </c>
      <c r="F88" t="s">
        <v>17</v>
      </c>
      <c r="G88">
        <v>4</v>
      </c>
      <c r="H88">
        <v>4</v>
      </c>
      <c r="I88">
        <v>0</v>
      </c>
      <c r="J88" s="1">
        <v>291200</v>
      </c>
      <c r="K88" s="1">
        <v>0</v>
      </c>
      <c r="L88" s="2">
        <v>72800</v>
      </c>
      <c r="M88" s="1">
        <f>Table1[[#This Row],[Unit Price]]*Table1[[#This Row],[Quantity Ordered]]</f>
        <v>291200</v>
      </c>
    </row>
    <row r="89" spans="1:13" hidden="1" x14ac:dyDescent="0.3">
      <c r="A89" t="s">
        <v>81</v>
      </c>
      <c r="B89" t="s">
        <v>82</v>
      </c>
      <c r="C89" t="s">
        <v>14</v>
      </c>
      <c r="D89" t="s">
        <v>15</v>
      </c>
      <c r="E89" t="s">
        <v>16</v>
      </c>
      <c r="F89" t="s">
        <v>17</v>
      </c>
      <c r="G89">
        <v>10</v>
      </c>
      <c r="H89">
        <v>10</v>
      </c>
      <c r="I89">
        <v>0</v>
      </c>
      <c r="J89" s="1">
        <v>3529110</v>
      </c>
      <c r="K89" s="1">
        <v>0</v>
      </c>
      <c r="L89" s="2">
        <v>352910.96</v>
      </c>
      <c r="M89" s="1">
        <f>Table1[[#This Row],[Unit Price]]*Table1[[#This Row],[Quantity Ordered]]</f>
        <v>3529109.6</v>
      </c>
    </row>
    <row r="90" spans="1:13" hidden="1" x14ac:dyDescent="0.3">
      <c r="A90" t="s">
        <v>81</v>
      </c>
      <c r="B90" t="s">
        <v>82</v>
      </c>
      <c r="C90" t="s">
        <v>14</v>
      </c>
      <c r="D90" t="s">
        <v>15</v>
      </c>
      <c r="E90" t="s">
        <v>18</v>
      </c>
      <c r="F90" t="s">
        <v>17</v>
      </c>
      <c r="G90">
        <v>9</v>
      </c>
      <c r="H90">
        <v>9</v>
      </c>
      <c r="I90">
        <v>0</v>
      </c>
      <c r="J90" s="1">
        <v>1071091</v>
      </c>
      <c r="K90" s="1">
        <v>0</v>
      </c>
      <c r="L90" s="2">
        <v>119010.13</v>
      </c>
      <c r="M90" s="1">
        <f>Table1[[#This Row],[Unit Price]]*Table1[[#This Row],[Quantity Ordered]]</f>
        <v>1071091.17</v>
      </c>
    </row>
    <row r="91" spans="1:13" hidden="1" x14ac:dyDescent="0.3">
      <c r="A91" t="s">
        <v>81</v>
      </c>
      <c r="B91" t="s">
        <v>82</v>
      </c>
      <c r="C91" t="s">
        <v>14</v>
      </c>
      <c r="D91" t="s">
        <v>15</v>
      </c>
      <c r="E91" t="s">
        <v>19</v>
      </c>
      <c r="F91" t="s">
        <v>17</v>
      </c>
      <c r="G91">
        <v>16</v>
      </c>
      <c r="H91">
        <v>16</v>
      </c>
      <c r="I91">
        <v>0</v>
      </c>
      <c r="J91" s="1">
        <v>1225604</v>
      </c>
      <c r="K91" s="1">
        <v>0</v>
      </c>
      <c r="L91" s="2">
        <v>76600.240000000005</v>
      </c>
      <c r="M91" s="1">
        <f>Table1[[#This Row],[Unit Price]]*Table1[[#This Row],[Quantity Ordered]]</f>
        <v>1225603.8400000001</v>
      </c>
    </row>
    <row r="92" spans="1:13" hidden="1" x14ac:dyDescent="0.3">
      <c r="A92" t="s">
        <v>81</v>
      </c>
      <c r="B92" t="s">
        <v>82</v>
      </c>
      <c r="C92" t="s">
        <v>14</v>
      </c>
      <c r="D92" t="s">
        <v>15</v>
      </c>
      <c r="E92" t="s">
        <v>20</v>
      </c>
      <c r="F92" t="s">
        <v>17</v>
      </c>
      <c r="G92">
        <v>44</v>
      </c>
      <c r="H92">
        <v>44</v>
      </c>
      <c r="I92">
        <v>0</v>
      </c>
      <c r="J92" s="1">
        <v>3370411</v>
      </c>
      <c r="K92" s="1">
        <v>0</v>
      </c>
      <c r="L92" s="2">
        <v>76600.240000000005</v>
      </c>
      <c r="M92" s="1">
        <f>Table1[[#This Row],[Unit Price]]*Table1[[#This Row],[Quantity Ordered]]</f>
        <v>3370410.56</v>
      </c>
    </row>
    <row r="93" spans="1:13" hidden="1" x14ac:dyDescent="0.3">
      <c r="A93" t="s">
        <v>81</v>
      </c>
      <c r="B93" t="s">
        <v>82</v>
      </c>
      <c r="C93" t="s">
        <v>14</v>
      </c>
      <c r="D93" t="s">
        <v>15</v>
      </c>
      <c r="E93" t="s">
        <v>21</v>
      </c>
      <c r="F93" t="s">
        <v>17</v>
      </c>
      <c r="G93">
        <v>88</v>
      </c>
      <c r="H93">
        <v>88</v>
      </c>
      <c r="I93">
        <v>0</v>
      </c>
      <c r="J93" t="s">
        <v>22</v>
      </c>
      <c r="K93" t="s">
        <v>22</v>
      </c>
      <c r="L93" t="s">
        <v>22</v>
      </c>
      <c r="M93" s="1" t="e">
        <f>Table1[[#This Row],[Unit Price]]*Table1[[#This Row],[Quantity Ordered]]</f>
        <v>#VALUE!</v>
      </c>
    </row>
    <row r="94" spans="1:13" hidden="1" x14ac:dyDescent="0.3">
      <c r="A94" t="s">
        <v>81</v>
      </c>
      <c r="B94" t="s">
        <v>82</v>
      </c>
      <c r="C94" t="s">
        <v>83</v>
      </c>
      <c r="D94" t="s">
        <v>83</v>
      </c>
      <c r="E94" t="s">
        <v>84</v>
      </c>
      <c r="F94" t="s">
        <v>17</v>
      </c>
      <c r="G94">
        <v>5</v>
      </c>
      <c r="H94">
        <v>5</v>
      </c>
      <c r="I94">
        <v>0</v>
      </c>
      <c r="J94" s="1">
        <v>391585</v>
      </c>
      <c r="K94" s="1">
        <v>0</v>
      </c>
      <c r="L94" s="2">
        <v>78317</v>
      </c>
      <c r="M94" s="1">
        <f>Table1[[#This Row],[Unit Price]]*Table1[[#This Row],[Quantity Ordered]]</f>
        <v>391585</v>
      </c>
    </row>
    <row r="95" spans="1:13" hidden="1" x14ac:dyDescent="0.3">
      <c r="A95" t="s">
        <v>81</v>
      </c>
      <c r="B95" t="s">
        <v>82</v>
      </c>
      <c r="C95" t="s">
        <v>83</v>
      </c>
      <c r="D95" t="s">
        <v>83</v>
      </c>
      <c r="E95" t="s">
        <v>85</v>
      </c>
      <c r="F95" t="s">
        <v>17</v>
      </c>
      <c r="G95">
        <v>3</v>
      </c>
      <c r="H95">
        <v>3</v>
      </c>
      <c r="I95">
        <v>0</v>
      </c>
      <c r="J95" s="1">
        <v>281943</v>
      </c>
      <c r="K95" s="1">
        <v>0</v>
      </c>
      <c r="L95" s="2">
        <v>93981</v>
      </c>
      <c r="M95" s="1">
        <f>Table1[[#This Row],[Unit Price]]*Table1[[#This Row],[Quantity Ordered]]</f>
        <v>281943</v>
      </c>
    </row>
    <row r="96" spans="1:13" hidden="1" x14ac:dyDescent="0.3">
      <c r="A96" t="s">
        <v>81</v>
      </c>
      <c r="B96" t="s">
        <v>82</v>
      </c>
      <c r="C96" t="s">
        <v>23</v>
      </c>
      <c r="D96" t="s">
        <v>23</v>
      </c>
      <c r="E96" t="s">
        <v>59</v>
      </c>
      <c r="F96" t="s">
        <v>17</v>
      </c>
      <c r="G96">
        <v>9</v>
      </c>
      <c r="H96">
        <v>9</v>
      </c>
      <c r="I96">
        <v>0</v>
      </c>
      <c r="J96" s="1">
        <v>5250254</v>
      </c>
      <c r="K96" s="1">
        <v>0</v>
      </c>
      <c r="L96" s="2">
        <v>583361.53</v>
      </c>
      <c r="M96" s="1">
        <f>Table1[[#This Row],[Unit Price]]*Table1[[#This Row],[Quantity Ordered]]</f>
        <v>5250253.7700000005</v>
      </c>
    </row>
    <row r="97" spans="1:13" hidden="1" x14ac:dyDescent="0.3">
      <c r="A97" t="s">
        <v>81</v>
      </c>
      <c r="B97" t="s">
        <v>82</v>
      </c>
      <c r="C97" t="s">
        <v>23</v>
      </c>
      <c r="D97" t="s">
        <v>23</v>
      </c>
      <c r="E97" t="s">
        <v>24</v>
      </c>
      <c r="F97" t="s">
        <v>17</v>
      </c>
      <c r="G97">
        <v>17</v>
      </c>
      <c r="H97">
        <v>17</v>
      </c>
      <c r="I97">
        <v>0</v>
      </c>
      <c r="J97" s="1">
        <v>1934783</v>
      </c>
      <c r="K97" s="1">
        <v>0</v>
      </c>
      <c r="L97" s="2">
        <v>113810.76</v>
      </c>
      <c r="M97" s="1">
        <f>Table1[[#This Row],[Unit Price]]*Table1[[#This Row],[Quantity Ordered]]</f>
        <v>1934782.92</v>
      </c>
    </row>
    <row r="98" spans="1:13" hidden="1" x14ac:dyDescent="0.3">
      <c r="A98" t="s">
        <v>81</v>
      </c>
      <c r="B98" t="s">
        <v>82</v>
      </c>
      <c r="C98" t="s">
        <v>32</v>
      </c>
      <c r="D98" t="s">
        <v>32</v>
      </c>
      <c r="E98" t="s">
        <v>86</v>
      </c>
      <c r="F98" t="s">
        <v>17</v>
      </c>
      <c r="G98">
        <v>1</v>
      </c>
      <c r="H98">
        <v>1</v>
      </c>
      <c r="I98">
        <v>0</v>
      </c>
      <c r="J98" s="1">
        <v>186300</v>
      </c>
      <c r="K98" s="1">
        <v>0</v>
      </c>
      <c r="L98" s="2">
        <v>186300</v>
      </c>
      <c r="M98" s="1">
        <f>Table1[[#This Row],[Unit Price]]*Table1[[#This Row],[Quantity Ordered]]</f>
        <v>186300</v>
      </c>
    </row>
    <row r="99" spans="1:13" hidden="1" x14ac:dyDescent="0.3">
      <c r="A99" t="s">
        <v>81</v>
      </c>
      <c r="B99" t="s">
        <v>82</v>
      </c>
      <c r="C99" t="s">
        <v>39</v>
      </c>
      <c r="D99" t="s">
        <v>39</v>
      </c>
      <c r="E99" t="s">
        <v>87</v>
      </c>
      <c r="F99" t="s">
        <v>17</v>
      </c>
      <c r="G99">
        <v>1</v>
      </c>
      <c r="H99">
        <v>1</v>
      </c>
      <c r="I99">
        <v>0</v>
      </c>
      <c r="J99" s="1">
        <v>419530</v>
      </c>
      <c r="K99" s="1">
        <v>0</v>
      </c>
      <c r="L99" s="2">
        <v>419530</v>
      </c>
      <c r="M99" s="1">
        <f>Table1[[#This Row],[Unit Price]]*Table1[[#This Row],[Quantity Ordered]]</f>
        <v>419530</v>
      </c>
    </row>
    <row r="100" spans="1:13" hidden="1" x14ac:dyDescent="0.3">
      <c r="A100" t="s">
        <v>81</v>
      </c>
      <c r="B100" t="s">
        <v>82</v>
      </c>
      <c r="C100" t="s">
        <v>28</v>
      </c>
      <c r="D100" t="s">
        <v>53</v>
      </c>
      <c r="E100" t="s">
        <v>88</v>
      </c>
      <c r="F100" t="s">
        <v>17</v>
      </c>
      <c r="G100">
        <v>4</v>
      </c>
      <c r="H100">
        <v>4</v>
      </c>
      <c r="I100">
        <v>0</v>
      </c>
      <c r="J100" s="1">
        <v>5880000</v>
      </c>
      <c r="K100" s="1">
        <v>0</v>
      </c>
      <c r="L100" s="2">
        <v>1470000</v>
      </c>
      <c r="M100" s="1">
        <f>Table1[[#This Row],[Unit Price]]*Table1[[#This Row],[Quantity Ordered]]</f>
        <v>5880000</v>
      </c>
    </row>
    <row r="101" spans="1:13" hidden="1" x14ac:dyDescent="0.3">
      <c r="A101" t="s">
        <v>81</v>
      </c>
      <c r="B101" t="s">
        <v>82</v>
      </c>
      <c r="C101" t="s">
        <v>23</v>
      </c>
      <c r="D101" t="s">
        <v>23</v>
      </c>
      <c r="E101" t="s">
        <v>89</v>
      </c>
      <c r="F101" t="s">
        <v>90</v>
      </c>
      <c r="G101">
        <v>189</v>
      </c>
      <c r="H101">
        <v>0</v>
      </c>
      <c r="I101">
        <v>-189</v>
      </c>
      <c r="J101" s="1">
        <v>1663200</v>
      </c>
      <c r="K101" s="1">
        <v>1663200</v>
      </c>
      <c r="L101" s="2">
        <v>8800</v>
      </c>
      <c r="M101" s="1">
        <f>Table1[[#This Row],[Unit Price]]*Table1[[#This Row],[Quantity Ordered]]</f>
        <v>0</v>
      </c>
    </row>
    <row r="102" spans="1:13" hidden="1" x14ac:dyDescent="0.3">
      <c r="A102" t="s">
        <v>81</v>
      </c>
      <c r="B102" t="s">
        <v>82</v>
      </c>
      <c r="C102" t="s">
        <v>23</v>
      </c>
      <c r="D102" t="s">
        <v>23</v>
      </c>
      <c r="E102" t="s">
        <v>91</v>
      </c>
      <c r="F102" t="s">
        <v>90</v>
      </c>
      <c r="G102">
        <v>1</v>
      </c>
      <c r="H102">
        <v>0</v>
      </c>
      <c r="I102">
        <v>-1</v>
      </c>
      <c r="J102" s="1">
        <v>16875</v>
      </c>
      <c r="K102" s="1">
        <v>16875</v>
      </c>
      <c r="L102" s="2">
        <v>16875</v>
      </c>
      <c r="M102" s="1">
        <f>Table1[[#This Row],[Unit Price]]*Table1[[#This Row],[Quantity Ordered]]</f>
        <v>0</v>
      </c>
    </row>
    <row r="103" spans="1:13" hidden="1" x14ac:dyDescent="0.3">
      <c r="A103" t="s">
        <v>81</v>
      </c>
      <c r="B103" t="s">
        <v>82</v>
      </c>
      <c r="C103" t="s">
        <v>23</v>
      </c>
      <c r="D103" t="s">
        <v>23</v>
      </c>
      <c r="E103" t="s">
        <v>92</v>
      </c>
      <c r="F103" t="s">
        <v>90</v>
      </c>
      <c r="G103">
        <v>1</v>
      </c>
      <c r="H103">
        <v>0</v>
      </c>
      <c r="I103">
        <v>-1</v>
      </c>
      <c r="J103" s="1">
        <v>17815</v>
      </c>
      <c r="K103" s="1">
        <v>17815</v>
      </c>
      <c r="L103" s="2">
        <v>17815</v>
      </c>
      <c r="M103" s="1">
        <f>Table1[[#This Row],[Unit Price]]*Table1[[#This Row],[Quantity Ordered]]</f>
        <v>0</v>
      </c>
    </row>
    <row r="104" spans="1:13" hidden="1" x14ac:dyDescent="0.3">
      <c r="A104" t="s">
        <v>81</v>
      </c>
      <c r="B104" t="s">
        <v>82</v>
      </c>
      <c r="C104" t="s">
        <v>23</v>
      </c>
      <c r="D104" t="s">
        <v>23</v>
      </c>
      <c r="E104" t="s">
        <v>93</v>
      </c>
      <c r="F104" t="s">
        <v>90</v>
      </c>
      <c r="G104">
        <v>1</v>
      </c>
      <c r="H104">
        <v>0</v>
      </c>
      <c r="I104">
        <v>-1</v>
      </c>
      <c r="J104" s="1">
        <v>35630</v>
      </c>
      <c r="K104" s="1">
        <v>35630</v>
      </c>
      <c r="L104" s="2">
        <v>35630</v>
      </c>
      <c r="M104" s="1">
        <f>Table1[[#This Row],[Unit Price]]*Table1[[#This Row],[Quantity Ordered]]</f>
        <v>0</v>
      </c>
    </row>
    <row r="105" spans="1:13" hidden="1" x14ac:dyDescent="0.3">
      <c r="A105" t="s">
        <v>81</v>
      </c>
      <c r="B105" t="s">
        <v>82</v>
      </c>
      <c r="C105" t="s">
        <v>94</v>
      </c>
      <c r="D105" t="s">
        <v>94</v>
      </c>
      <c r="E105" t="s">
        <v>95</v>
      </c>
      <c r="F105" t="s">
        <v>17</v>
      </c>
      <c r="G105">
        <v>1</v>
      </c>
      <c r="H105">
        <v>1</v>
      </c>
      <c r="I105">
        <v>0</v>
      </c>
      <c r="J105" s="1">
        <v>12050</v>
      </c>
      <c r="K105" s="1">
        <v>0</v>
      </c>
      <c r="L105" s="2">
        <v>12050</v>
      </c>
      <c r="M105" s="1">
        <f>Table1[[#This Row],[Unit Price]]*Table1[[#This Row],[Quantity Ordered]]</f>
        <v>12050</v>
      </c>
    </row>
    <row r="106" spans="1:13" hidden="1" x14ac:dyDescent="0.3">
      <c r="A106" t="s">
        <v>81</v>
      </c>
      <c r="B106" t="s">
        <v>82</v>
      </c>
      <c r="C106" t="s">
        <v>28</v>
      </c>
      <c r="D106" t="s">
        <v>29</v>
      </c>
      <c r="E106" t="s">
        <v>30</v>
      </c>
      <c r="F106" t="s">
        <v>17</v>
      </c>
      <c r="G106">
        <v>5</v>
      </c>
      <c r="H106">
        <v>5</v>
      </c>
      <c r="I106">
        <v>0</v>
      </c>
      <c r="J106" s="1">
        <v>7033840</v>
      </c>
      <c r="K106" s="1">
        <v>0</v>
      </c>
      <c r="L106" s="2">
        <v>1406767.94</v>
      </c>
      <c r="M106" s="1">
        <f>Table1[[#This Row],[Unit Price]]*Table1[[#This Row],[Quantity Ordered]]</f>
        <v>7033839.6999999993</v>
      </c>
    </row>
    <row r="107" spans="1:13" hidden="1" x14ac:dyDescent="0.3">
      <c r="A107" t="s">
        <v>81</v>
      </c>
      <c r="B107" t="s">
        <v>82</v>
      </c>
      <c r="C107" t="s">
        <v>28</v>
      </c>
      <c r="D107" t="s">
        <v>29</v>
      </c>
      <c r="E107" t="s">
        <v>31</v>
      </c>
      <c r="F107" t="s">
        <v>17</v>
      </c>
      <c r="G107">
        <v>3</v>
      </c>
      <c r="H107">
        <v>3</v>
      </c>
      <c r="I107">
        <v>0</v>
      </c>
      <c r="J107" s="1">
        <v>4220304</v>
      </c>
      <c r="K107" s="1">
        <v>0</v>
      </c>
      <c r="L107" s="2">
        <v>1406767.94</v>
      </c>
      <c r="M107" s="1">
        <f>Table1[[#This Row],[Unit Price]]*Table1[[#This Row],[Quantity Ordered]]</f>
        <v>4220303.82</v>
      </c>
    </row>
    <row r="108" spans="1:13" hidden="1" x14ac:dyDescent="0.3">
      <c r="A108" t="s">
        <v>81</v>
      </c>
      <c r="B108" t="s">
        <v>82</v>
      </c>
      <c r="C108" t="s">
        <v>28</v>
      </c>
      <c r="D108" t="s">
        <v>29</v>
      </c>
      <c r="E108" t="s">
        <v>96</v>
      </c>
      <c r="F108" t="s">
        <v>17</v>
      </c>
      <c r="G108">
        <v>2</v>
      </c>
      <c r="H108">
        <v>2</v>
      </c>
      <c r="I108">
        <v>0</v>
      </c>
      <c r="J108" s="1">
        <v>4921000</v>
      </c>
      <c r="K108" s="1">
        <v>0</v>
      </c>
      <c r="L108" s="2">
        <v>2460500</v>
      </c>
      <c r="M108" s="1">
        <f>Table1[[#This Row],[Unit Price]]*Table1[[#This Row],[Quantity Ordered]]</f>
        <v>4921000</v>
      </c>
    </row>
    <row r="109" spans="1:13" hidden="1" x14ac:dyDescent="0.3">
      <c r="A109" t="s">
        <v>81</v>
      </c>
      <c r="B109" t="s">
        <v>82</v>
      </c>
      <c r="C109" t="s">
        <v>28</v>
      </c>
      <c r="D109" t="s">
        <v>97</v>
      </c>
      <c r="E109" t="s">
        <v>98</v>
      </c>
      <c r="F109" t="s">
        <v>17</v>
      </c>
      <c r="G109">
        <v>2</v>
      </c>
      <c r="H109">
        <v>2</v>
      </c>
      <c r="I109">
        <v>0</v>
      </c>
      <c r="J109" s="1">
        <v>731900</v>
      </c>
      <c r="K109" s="1">
        <v>0</v>
      </c>
      <c r="L109" s="2">
        <v>365949.82</v>
      </c>
      <c r="M109" s="1">
        <f>Table1[[#This Row],[Unit Price]]*Table1[[#This Row],[Quantity Ordered]]</f>
        <v>731899.64</v>
      </c>
    </row>
    <row r="110" spans="1:13" hidden="1" x14ac:dyDescent="0.3">
      <c r="A110" t="s">
        <v>81</v>
      </c>
      <c r="B110" t="s">
        <v>82</v>
      </c>
      <c r="C110" t="s">
        <v>32</v>
      </c>
      <c r="D110" t="s">
        <v>33</v>
      </c>
      <c r="E110" t="s">
        <v>34</v>
      </c>
      <c r="F110" t="s">
        <v>17</v>
      </c>
      <c r="G110">
        <v>2</v>
      </c>
      <c r="H110">
        <v>2</v>
      </c>
      <c r="I110">
        <v>0</v>
      </c>
      <c r="J110" s="1">
        <v>133438</v>
      </c>
      <c r="K110" s="1">
        <v>0</v>
      </c>
      <c r="L110" s="2">
        <v>66718.75</v>
      </c>
      <c r="M110" s="1">
        <f>Table1[[#This Row],[Unit Price]]*Table1[[#This Row],[Quantity Ordered]]</f>
        <v>133437.5</v>
      </c>
    </row>
    <row r="111" spans="1:13" hidden="1" x14ac:dyDescent="0.3">
      <c r="A111" t="s">
        <v>81</v>
      </c>
      <c r="B111" t="s">
        <v>82</v>
      </c>
      <c r="C111" t="s">
        <v>32</v>
      </c>
      <c r="D111" t="s">
        <v>35</v>
      </c>
      <c r="E111" t="s">
        <v>36</v>
      </c>
      <c r="F111" t="s">
        <v>17</v>
      </c>
      <c r="G111">
        <v>3</v>
      </c>
      <c r="H111">
        <v>3</v>
      </c>
      <c r="I111">
        <v>0</v>
      </c>
      <c r="J111" s="1">
        <v>34200</v>
      </c>
      <c r="K111" s="1">
        <v>0</v>
      </c>
      <c r="L111" s="2">
        <v>11400</v>
      </c>
      <c r="M111" s="1">
        <f>Table1[[#This Row],[Unit Price]]*Table1[[#This Row],[Quantity Ordered]]</f>
        <v>34200</v>
      </c>
    </row>
    <row r="112" spans="1:13" hidden="1" x14ac:dyDescent="0.3">
      <c r="A112" t="s">
        <v>81</v>
      </c>
      <c r="B112" t="s">
        <v>82</v>
      </c>
      <c r="C112" t="s">
        <v>32</v>
      </c>
      <c r="D112" t="s">
        <v>37</v>
      </c>
      <c r="E112" t="s">
        <v>38</v>
      </c>
      <c r="F112" t="s">
        <v>17</v>
      </c>
      <c r="G112">
        <v>2</v>
      </c>
      <c r="H112">
        <v>2</v>
      </c>
      <c r="I112">
        <v>0</v>
      </c>
      <c r="J112" s="1">
        <v>145600</v>
      </c>
      <c r="K112" s="1">
        <v>0</v>
      </c>
      <c r="L112" s="2">
        <v>72800</v>
      </c>
      <c r="M112" s="1">
        <f>Table1[[#This Row],[Unit Price]]*Table1[[#This Row],[Quantity Ordered]]</f>
        <v>145600</v>
      </c>
    </row>
    <row r="113" spans="1:13" hidden="1" x14ac:dyDescent="0.3">
      <c r="A113" t="s">
        <v>81</v>
      </c>
      <c r="B113" t="s">
        <v>82</v>
      </c>
      <c r="C113" t="s">
        <v>28</v>
      </c>
      <c r="D113" t="s">
        <v>99</v>
      </c>
      <c r="E113" t="s">
        <v>100</v>
      </c>
      <c r="F113" t="s">
        <v>17</v>
      </c>
      <c r="G113">
        <v>8</v>
      </c>
      <c r="H113">
        <v>8</v>
      </c>
      <c r="I113">
        <v>0</v>
      </c>
      <c r="J113" s="1">
        <v>94811</v>
      </c>
      <c r="K113" s="1">
        <v>0</v>
      </c>
      <c r="L113" s="2">
        <v>11851.38</v>
      </c>
      <c r="M113" s="1">
        <f>Table1[[#This Row],[Unit Price]]*Table1[[#This Row],[Quantity Ordered]]</f>
        <v>94811.04</v>
      </c>
    </row>
    <row r="114" spans="1:13" hidden="1" x14ac:dyDescent="0.3">
      <c r="A114" t="s">
        <v>81</v>
      </c>
      <c r="B114" t="s">
        <v>82</v>
      </c>
      <c r="C114" t="s">
        <v>101</v>
      </c>
      <c r="D114" t="s">
        <v>102</v>
      </c>
      <c r="E114" t="s">
        <v>103</v>
      </c>
      <c r="F114" t="s">
        <v>17</v>
      </c>
      <c r="G114">
        <v>4</v>
      </c>
      <c r="H114">
        <v>4</v>
      </c>
      <c r="I114">
        <v>0</v>
      </c>
      <c r="J114" s="1">
        <v>3310730</v>
      </c>
      <c r="K114" s="1">
        <v>0</v>
      </c>
      <c r="L114" s="2">
        <v>827682.44</v>
      </c>
      <c r="M114" s="1">
        <f>Table1[[#This Row],[Unit Price]]*Table1[[#This Row],[Quantity Ordered]]</f>
        <v>3310729.76</v>
      </c>
    </row>
    <row r="115" spans="1:13" hidden="1" x14ac:dyDescent="0.3">
      <c r="A115" t="s">
        <v>81</v>
      </c>
      <c r="B115" t="s">
        <v>82</v>
      </c>
      <c r="C115" t="s">
        <v>39</v>
      </c>
      <c r="D115" t="s">
        <v>40</v>
      </c>
      <c r="E115" t="s">
        <v>41</v>
      </c>
      <c r="F115" t="s">
        <v>17</v>
      </c>
      <c r="G115">
        <v>9</v>
      </c>
      <c r="H115">
        <v>9</v>
      </c>
      <c r="I115">
        <v>0</v>
      </c>
      <c r="J115" s="1">
        <v>724122</v>
      </c>
      <c r="K115" s="1">
        <v>0</v>
      </c>
      <c r="L115" s="2">
        <v>80458</v>
      </c>
      <c r="M115" s="1">
        <f>Table1[[#This Row],[Unit Price]]*Table1[[#This Row],[Quantity Ordered]]</f>
        <v>724122</v>
      </c>
    </row>
    <row r="116" spans="1:13" hidden="1" x14ac:dyDescent="0.3">
      <c r="A116" t="s">
        <v>81</v>
      </c>
      <c r="B116" t="s">
        <v>82</v>
      </c>
      <c r="C116" t="s">
        <v>39</v>
      </c>
      <c r="D116" t="s">
        <v>42</v>
      </c>
      <c r="E116" t="s">
        <v>43</v>
      </c>
      <c r="F116" t="s">
        <v>17</v>
      </c>
      <c r="G116">
        <v>2</v>
      </c>
      <c r="H116">
        <v>2</v>
      </c>
      <c r="I116">
        <v>0</v>
      </c>
      <c r="J116" s="1">
        <v>815898</v>
      </c>
      <c r="K116" s="1">
        <v>0</v>
      </c>
      <c r="L116" s="2">
        <v>407949</v>
      </c>
      <c r="M116" s="1">
        <f>Table1[[#This Row],[Unit Price]]*Table1[[#This Row],[Quantity Ordered]]</f>
        <v>815898</v>
      </c>
    </row>
    <row r="117" spans="1:13" hidden="1" x14ac:dyDescent="0.3">
      <c r="A117" t="s">
        <v>104</v>
      </c>
      <c r="B117" t="s">
        <v>105</v>
      </c>
      <c r="C117" t="s">
        <v>32</v>
      </c>
      <c r="D117" t="s">
        <v>37</v>
      </c>
      <c r="E117" t="s">
        <v>38</v>
      </c>
      <c r="F117" t="s">
        <v>17</v>
      </c>
      <c r="G117">
        <v>4</v>
      </c>
      <c r="H117">
        <v>4</v>
      </c>
      <c r="I117">
        <v>0</v>
      </c>
      <c r="J117" s="1">
        <v>291200</v>
      </c>
      <c r="K117" s="1">
        <v>0</v>
      </c>
      <c r="L117" s="2">
        <v>72800</v>
      </c>
      <c r="M117" s="1">
        <f>Table1[[#This Row],[Unit Price]]*Table1[[#This Row],[Quantity Ordered]]</f>
        <v>291200</v>
      </c>
    </row>
    <row r="118" spans="1:13" hidden="1" x14ac:dyDescent="0.3">
      <c r="A118" t="s">
        <v>106</v>
      </c>
      <c r="B118" t="s">
        <v>107</v>
      </c>
      <c r="C118" t="s">
        <v>14</v>
      </c>
      <c r="D118" t="s">
        <v>15</v>
      </c>
      <c r="E118" t="s">
        <v>16</v>
      </c>
      <c r="F118" t="s">
        <v>17</v>
      </c>
      <c r="G118">
        <v>42</v>
      </c>
      <c r="H118">
        <v>42</v>
      </c>
      <c r="I118">
        <v>0</v>
      </c>
      <c r="J118" s="1">
        <v>14822260</v>
      </c>
      <c r="K118" s="1">
        <v>0</v>
      </c>
      <c r="L118" s="2">
        <v>352910.96</v>
      </c>
      <c r="M118" s="1">
        <f>Table1[[#This Row],[Unit Price]]*Table1[[#This Row],[Quantity Ordered]]</f>
        <v>14822260.32</v>
      </c>
    </row>
    <row r="119" spans="1:13" hidden="1" x14ac:dyDescent="0.3">
      <c r="A119" t="s">
        <v>106</v>
      </c>
      <c r="B119" t="s">
        <v>107</v>
      </c>
      <c r="C119" t="s">
        <v>14</v>
      </c>
      <c r="D119" t="s">
        <v>15</v>
      </c>
      <c r="E119" t="s">
        <v>18</v>
      </c>
      <c r="F119" t="s">
        <v>17</v>
      </c>
      <c r="G119">
        <v>30</v>
      </c>
      <c r="H119">
        <v>30</v>
      </c>
      <c r="I119">
        <v>0</v>
      </c>
      <c r="J119" s="1">
        <v>3570304</v>
      </c>
      <c r="K119" s="1">
        <v>0</v>
      </c>
      <c r="L119" s="2">
        <v>119010.13</v>
      </c>
      <c r="M119" s="1">
        <f>Table1[[#This Row],[Unit Price]]*Table1[[#This Row],[Quantity Ordered]]</f>
        <v>3570303.9000000004</v>
      </c>
    </row>
    <row r="120" spans="1:13" hidden="1" x14ac:dyDescent="0.3">
      <c r="A120" t="s">
        <v>106</v>
      </c>
      <c r="B120" t="s">
        <v>107</v>
      </c>
      <c r="C120" t="s">
        <v>14</v>
      </c>
      <c r="D120" t="s">
        <v>15</v>
      </c>
      <c r="E120" t="s">
        <v>19</v>
      </c>
      <c r="F120" t="s">
        <v>17</v>
      </c>
      <c r="G120">
        <v>2</v>
      </c>
      <c r="H120">
        <v>2</v>
      </c>
      <c r="I120">
        <v>0</v>
      </c>
      <c r="J120" s="1">
        <v>153200</v>
      </c>
      <c r="K120" s="1">
        <v>0</v>
      </c>
      <c r="L120" s="2">
        <v>76600.240000000005</v>
      </c>
      <c r="M120" s="1">
        <f>Table1[[#This Row],[Unit Price]]*Table1[[#This Row],[Quantity Ordered]]</f>
        <v>153200.48000000001</v>
      </c>
    </row>
    <row r="121" spans="1:13" hidden="1" x14ac:dyDescent="0.3">
      <c r="A121" t="s">
        <v>106</v>
      </c>
      <c r="B121" t="s">
        <v>107</v>
      </c>
      <c r="C121" t="s">
        <v>14</v>
      </c>
      <c r="D121" t="s">
        <v>15</v>
      </c>
      <c r="E121" t="s">
        <v>20</v>
      </c>
      <c r="F121" t="s">
        <v>17</v>
      </c>
      <c r="G121">
        <v>16</v>
      </c>
      <c r="H121">
        <v>16</v>
      </c>
      <c r="I121">
        <v>0</v>
      </c>
      <c r="J121" s="1">
        <v>1225604</v>
      </c>
      <c r="K121" s="1">
        <v>0</v>
      </c>
      <c r="L121" s="2">
        <v>76600.240000000005</v>
      </c>
      <c r="M121" s="1">
        <f>Table1[[#This Row],[Unit Price]]*Table1[[#This Row],[Quantity Ordered]]</f>
        <v>1225603.8400000001</v>
      </c>
    </row>
    <row r="122" spans="1:13" hidden="1" x14ac:dyDescent="0.3">
      <c r="A122" t="s">
        <v>106</v>
      </c>
      <c r="B122" t="s">
        <v>107</v>
      </c>
      <c r="C122" t="s">
        <v>14</v>
      </c>
      <c r="D122" t="s">
        <v>15</v>
      </c>
      <c r="E122" t="s">
        <v>52</v>
      </c>
      <c r="F122" t="s">
        <v>17</v>
      </c>
      <c r="G122">
        <v>72</v>
      </c>
      <c r="H122">
        <v>72</v>
      </c>
      <c r="I122">
        <v>0</v>
      </c>
      <c r="J122" s="1">
        <v>5515217</v>
      </c>
      <c r="K122" s="1">
        <v>0</v>
      </c>
      <c r="L122" s="2">
        <v>76600.240000000005</v>
      </c>
      <c r="M122" s="1">
        <f>Table1[[#This Row],[Unit Price]]*Table1[[#This Row],[Quantity Ordered]]</f>
        <v>5515217.2800000003</v>
      </c>
    </row>
    <row r="123" spans="1:13" hidden="1" x14ac:dyDescent="0.3">
      <c r="A123" t="s">
        <v>106</v>
      </c>
      <c r="B123" t="s">
        <v>107</v>
      </c>
      <c r="C123" t="s">
        <v>55</v>
      </c>
      <c r="D123" t="s">
        <v>55</v>
      </c>
      <c r="E123" t="s">
        <v>56</v>
      </c>
      <c r="F123" t="s">
        <v>17</v>
      </c>
      <c r="G123">
        <v>1095</v>
      </c>
      <c r="H123">
        <v>1095</v>
      </c>
      <c r="I123">
        <v>0</v>
      </c>
      <c r="J123" s="1">
        <v>1020540</v>
      </c>
      <c r="K123" s="1">
        <v>0</v>
      </c>
      <c r="L123" s="2">
        <v>932</v>
      </c>
      <c r="M123" s="1">
        <f>Table1[[#This Row],[Unit Price]]*Table1[[#This Row],[Quantity Ordered]]</f>
        <v>1020540</v>
      </c>
    </row>
    <row r="124" spans="1:13" hidden="1" x14ac:dyDescent="0.3">
      <c r="A124" t="s">
        <v>106</v>
      </c>
      <c r="B124" t="s">
        <v>107</v>
      </c>
      <c r="C124" t="s">
        <v>55</v>
      </c>
      <c r="D124" t="s">
        <v>55</v>
      </c>
      <c r="E124" t="s">
        <v>57</v>
      </c>
      <c r="F124" t="s">
        <v>17</v>
      </c>
      <c r="G124">
        <v>72</v>
      </c>
      <c r="H124">
        <v>72</v>
      </c>
      <c r="I124">
        <v>0</v>
      </c>
      <c r="J124" t="s">
        <v>58</v>
      </c>
      <c r="K124" t="s">
        <v>58</v>
      </c>
      <c r="L124" t="s">
        <v>58</v>
      </c>
      <c r="M124" s="1" t="e">
        <f>Table1[[#This Row],[Unit Price]]*Table1[[#This Row],[Quantity Ordered]]</f>
        <v>#VALUE!</v>
      </c>
    </row>
    <row r="125" spans="1:13" hidden="1" x14ac:dyDescent="0.3">
      <c r="A125" t="s">
        <v>106</v>
      </c>
      <c r="B125" t="s">
        <v>107</v>
      </c>
      <c r="C125" t="s">
        <v>83</v>
      </c>
      <c r="D125" t="s">
        <v>83</v>
      </c>
      <c r="E125" t="s">
        <v>84</v>
      </c>
      <c r="F125" t="s">
        <v>17</v>
      </c>
      <c r="G125">
        <v>21</v>
      </c>
      <c r="H125">
        <v>21</v>
      </c>
      <c r="I125">
        <v>0</v>
      </c>
      <c r="J125" s="1">
        <v>1644657</v>
      </c>
      <c r="K125" s="1">
        <v>0</v>
      </c>
      <c r="L125" s="2">
        <v>78317</v>
      </c>
      <c r="M125" s="1">
        <f>Table1[[#This Row],[Unit Price]]*Table1[[#This Row],[Quantity Ordered]]</f>
        <v>1644657</v>
      </c>
    </row>
    <row r="126" spans="1:13" hidden="1" x14ac:dyDescent="0.3">
      <c r="A126" t="s">
        <v>106</v>
      </c>
      <c r="B126" t="s">
        <v>107</v>
      </c>
      <c r="C126" t="s">
        <v>83</v>
      </c>
      <c r="D126" t="s">
        <v>83</v>
      </c>
      <c r="E126" t="s">
        <v>85</v>
      </c>
      <c r="F126" t="s">
        <v>17</v>
      </c>
      <c r="G126">
        <v>10</v>
      </c>
      <c r="H126">
        <v>10</v>
      </c>
      <c r="I126">
        <v>0</v>
      </c>
      <c r="J126" s="1">
        <v>939810</v>
      </c>
      <c r="K126" s="1">
        <v>0</v>
      </c>
      <c r="L126" s="2">
        <v>93981</v>
      </c>
      <c r="M126" s="1">
        <f>Table1[[#This Row],[Unit Price]]*Table1[[#This Row],[Quantity Ordered]]</f>
        <v>939810</v>
      </c>
    </row>
    <row r="127" spans="1:13" hidden="1" x14ac:dyDescent="0.3">
      <c r="A127" t="s">
        <v>106</v>
      </c>
      <c r="B127" t="s">
        <v>107</v>
      </c>
      <c r="C127" t="s">
        <v>23</v>
      </c>
      <c r="D127" t="s">
        <v>23</v>
      </c>
      <c r="E127" t="s">
        <v>59</v>
      </c>
      <c r="F127" t="s">
        <v>17</v>
      </c>
      <c r="G127">
        <v>30</v>
      </c>
      <c r="H127">
        <v>30</v>
      </c>
      <c r="I127">
        <v>0</v>
      </c>
      <c r="J127" s="1">
        <v>17500846</v>
      </c>
      <c r="K127" s="1">
        <v>0</v>
      </c>
      <c r="L127" s="2">
        <v>583361.53</v>
      </c>
      <c r="M127" s="1">
        <f>Table1[[#This Row],[Unit Price]]*Table1[[#This Row],[Quantity Ordered]]</f>
        <v>17500845.900000002</v>
      </c>
    </row>
    <row r="128" spans="1:13" hidden="1" x14ac:dyDescent="0.3">
      <c r="A128" t="s">
        <v>106</v>
      </c>
      <c r="B128" t="s">
        <v>107</v>
      </c>
      <c r="C128" t="s">
        <v>23</v>
      </c>
      <c r="D128" t="s">
        <v>23</v>
      </c>
      <c r="E128" t="s">
        <v>24</v>
      </c>
      <c r="F128" t="s">
        <v>17</v>
      </c>
      <c r="G128">
        <v>38</v>
      </c>
      <c r="H128">
        <v>38</v>
      </c>
      <c r="I128">
        <v>0</v>
      </c>
      <c r="J128" s="1">
        <v>4324809</v>
      </c>
      <c r="K128" s="1">
        <v>0</v>
      </c>
      <c r="L128" s="2">
        <v>113810.76</v>
      </c>
      <c r="M128" s="1">
        <f>Table1[[#This Row],[Unit Price]]*Table1[[#This Row],[Quantity Ordered]]</f>
        <v>4324808.88</v>
      </c>
    </row>
    <row r="129" spans="1:13" hidden="1" x14ac:dyDescent="0.3">
      <c r="A129" t="s">
        <v>106</v>
      </c>
      <c r="B129" t="s">
        <v>107</v>
      </c>
      <c r="C129" t="s">
        <v>48</v>
      </c>
      <c r="D129" t="s">
        <v>49</v>
      </c>
      <c r="E129" t="s">
        <v>50</v>
      </c>
      <c r="F129" t="s">
        <v>17</v>
      </c>
      <c r="G129">
        <v>1200</v>
      </c>
      <c r="H129">
        <v>1200</v>
      </c>
      <c r="I129">
        <v>0</v>
      </c>
      <c r="J129" s="1">
        <v>631560</v>
      </c>
      <c r="K129" s="1">
        <v>0</v>
      </c>
      <c r="L129" s="2">
        <v>526.29999999999995</v>
      </c>
      <c r="M129" s="1">
        <f>Table1[[#This Row],[Unit Price]]*Table1[[#This Row],[Quantity Ordered]]</f>
        <v>631560</v>
      </c>
    </row>
    <row r="130" spans="1:13" hidden="1" x14ac:dyDescent="0.3">
      <c r="A130" t="s">
        <v>106</v>
      </c>
      <c r="B130" t="s">
        <v>107</v>
      </c>
      <c r="C130" t="s">
        <v>28</v>
      </c>
      <c r="D130" t="s">
        <v>29</v>
      </c>
      <c r="E130" t="s">
        <v>30</v>
      </c>
      <c r="F130" t="s">
        <v>17</v>
      </c>
      <c r="G130">
        <v>21</v>
      </c>
      <c r="H130">
        <v>21</v>
      </c>
      <c r="I130">
        <v>0</v>
      </c>
      <c r="J130" s="1">
        <v>29542127</v>
      </c>
      <c r="K130" s="1">
        <v>0</v>
      </c>
      <c r="L130" s="2">
        <v>1406767.94</v>
      </c>
      <c r="M130" s="1">
        <f>Table1[[#This Row],[Unit Price]]*Table1[[#This Row],[Quantity Ordered]]</f>
        <v>29542126.739999998</v>
      </c>
    </row>
    <row r="131" spans="1:13" hidden="1" x14ac:dyDescent="0.3">
      <c r="A131" t="s">
        <v>106</v>
      </c>
      <c r="B131" t="s">
        <v>107</v>
      </c>
      <c r="C131" t="s">
        <v>28</v>
      </c>
      <c r="D131" t="s">
        <v>29</v>
      </c>
      <c r="E131" t="s">
        <v>31</v>
      </c>
      <c r="F131" t="s">
        <v>17</v>
      </c>
      <c r="G131">
        <v>10</v>
      </c>
      <c r="H131">
        <v>10</v>
      </c>
      <c r="I131">
        <v>0</v>
      </c>
      <c r="J131" s="1">
        <v>14067679</v>
      </c>
      <c r="K131" s="1">
        <v>0</v>
      </c>
      <c r="L131" s="2">
        <v>1406767.94</v>
      </c>
      <c r="M131" s="1">
        <f>Table1[[#This Row],[Unit Price]]*Table1[[#This Row],[Quantity Ordered]]</f>
        <v>14067679.399999999</v>
      </c>
    </row>
    <row r="132" spans="1:13" hidden="1" x14ac:dyDescent="0.3">
      <c r="A132" t="s">
        <v>106</v>
      </c>
      <c r="B132" t="s">
        <v>107</v>
      </c>
      <c r="C132" t="s">
        <v>28</v>
      </c>
      <c r="D132" t="s">
        <v>97</v>
      </c>
      <c r="E132" t="s">
        <v>98</v>
      </c>
      <c r="F132" t="s">
        <v>17</v>
      </c>
      <c r="G132">
        <v>4</v>
      </c>
      <c r="H132">
        <v>4</v>
      </c>
      <c r="I132">
        <v>0</v>
      </c>
      <c r="J132" s="1">
        <v>1463799</v>
      </c>
      <c r="K132" s="1">
        <v>0</v>
      </c>
      <c r="L132" s="2">
        <v>365949.82</v>
      </c>
      <c r="M132" s="1">
        <f>Table1[[#This Row],[Unit Price]]*Table1[[#This Row],[Quantity Ordered]]</f>
        <v>1463799.28</v>
      </c>
    </row>
    <row r="133" spans="1:13" hidden="1" x14ac:dyDescent="0.3">
      <c r="A133" t="s">
        <v>106</v>
      </c>
      <c r="B133" t="s">
        <v>107</v>
      </c>
      <c r="C133" t="s">
        <v>32</v>
      </c>
      <c r="D133" t="s">
        <v>33</v>
      </c>
      <c r="E133" t="s">
        <v>62</v>
      </c>
      <c r="F133" t="s">
        <v>17</v>
      </c>
      <c r="G133">
        <v>2</v>
      </c>
      <c r="H133">
        <v>2</v>
      </c>
      <c r="I133">
        <v>0</v>
      </c>
      <c r="J133" s="1">
        <v>133438</v>
      </c>
      <c r="K133" s="1">
        <v>0</v>
      </c>
      <c r="L133" s="2">
        <v>66718.75</v>
      </c>
      <c r="M133" s="1">
        <f>Table1[[#This Row],[Unit Price]]*Table1[[#This Row],[Quantity Ordered]]</f>
        <v>133437.5</v>
      </c>
    </row>
    <row r="134" spans="1:13" hidden="1" x14ac:dyDescent="0.3">
      <c r="A134" t="s">
        <v>106</v>
      </c>
      <c r="B134" t="s">
        <v>107</v>
      </c>
      <c r="C134" t="s">
        <v>32</v>
      </c>
      <c r="D134" t="s">
        <v>35</v>
      </c>
      <c r="E134" t="s">
        <v>36</v>
      </c>
      <c r="F134" t="s">
        <v>17</v>
      </c>
      <c r="G134">
        <v>8</v>
      </c>
      <c r="H134">
        <v>8</v>
      </c>
      <c r="I134">
        <v>0</v>
      </c>
      <c r="J134" s="1">
        <v>77686</v>
      </c>
      <c r="K134" s="1">
        <v>0</v>
      </c>
      <c r="L134" s="2">
        <v>9710.7099999999991</v>
      </c>
      <c r="M134" s="1">
        <f>Table1[[#This Row],[Unit Price]]*Table1[[#This Row],[Quantity Ordered]]</f>
        <v>77685.679999999993</v>
      </c>
    </row>
    <row r="135" spans="1:13" hidden="1" x14ac:dyDescent="0.3">
      <c r="A135" t="s">
        <v>106</v>
      </c>
      <c r="B135" t="s">
        <v>107</v>
      </c>
      <c r="C135" t="s">
        <v>32</v>
      </c>
      <c r="D135" t="s">
        <v>37</v>
      </c>
      <c r="E135" t="s">
        <v>38</v>
      </c>
      <c r="F135" t="s">
        <v>17</v>
      </c>
      <c r="G135">
        <v>2</v>
      </c>
      <c r="H135">
        <v>2</v>
      </c>
      <c r="I135">
        <v>0</v>
      </c>
      <c r="J135" s="1">
        <v>145600</v>
      </c>
      <c r="K135" s="1">
        <v>0</v>
      </c>
      <c r="L135" s="2">
        <v>72800</v>
      </c>
      <c r="M135" s="1">
        <f>Table1[[#This Row],[Unit Price]]*Table1[[#This Row],[Quantity Ordered]]</f>
        <v>145600</v>
      </c>
    </row>
    <row r="136" spans="1:13" hidden="1" x14ac:dyDescent="0.3">
      <c r="A136" t="s">
        <v>106</v>
      </c>
      <c r="B136" t="s">
        <v>107</v>
      </c>
      <c r="C136" t="s">
        <v>101</v>
      </c>
      <c r="D136" t="s">
        <v>102</v>
      </c>
      <c r="E136" t="s">
        <v>103</v>
      </c>
      <c r="F136" t="s">
        <v>17</v>
      </c>
      <c r="G136">
        <v>8</v>
      </c>
      <c r="H136">
        <v>8</v>
      </c>
      <c r="I136">
        <v>0</v>
      </c>
      <c r="J136" s="1">
        <v>6621459</v>
      </c>
      <c r="K136" s="1">
        <v>0</v>
      </c>
      <c r="L136" s="2">
        <v>827682.44</v>
      </c>
      <c r="M136" s="1">
        <f>Table1[[#This Row],[Unit Price]]*Table1[[#This Row],[Quantity Ordered]]</f>
        <v>6621459.5199999996</v>
      </c>
    </row>
    <row r="137" spans="1:13" hidden="1" x14ac:dyDescent="0.3">
      <c r="A137" t="s">
        <v>106</v>
      </c>
      <c r="B137" t="s">
        <v>107</v>
      </c>
      <c r="C137" t="s">
        <v>39</v>
      </c>
      <c r="D137" t="s">
        <v>40</v>
      </c>
      <c r="E137" t="s">
        <v>41</v>
      </c>
      <c r="F137" t="s">
        <v>17</v>
      </c>
      <c r="G137">
        <v>30</v>
      </c>
      <c r="H137">
        <v>30</v>
      </c>
      <c r="I137">
        <v>0</v>
      </c>
      <c r="J137" s="1">
        <v>2413740</v>
      </c>
      <c r="K137" s="1">
        <v>0</v>
      </c>
      <c r="L137" s="2">
        <v>80458</v>
      </c>
      <c r="M137" s="1">
        <f>Table1[[#This Row],[Unit Price]]*Table1[[#This Row],[Quantity Ordered]]</f>
        <v>2413740</v>
      </c>
    </row>
    <row r="138" spans="1:13" hidden="1" x14ac:dyDescent="0.3">
      <c r="A138" t="s">
        <v>106</v>
      </c>
      <c r="B138" t="s">
        <v>107</v>
      </c>
      <c r="C138" t="s">
        <v>39</v>
      </c>
      <c r="D138" t="s">
        <v>42</v>
      </c>
      <c r="E138" t="s">
        <v>63</v>
      </c>
      <c r="F138" t="s">
        <v>17</v>
      </c>
      <c r="G138">
        <v>4</v>
      </c>
      <c r="H138">
        <v>4</v>
      </c>
      <c r="I138">
        <v>0</v>
      </c>
      <c r="J138" s="1">
        <v>1631796</v>
      </c>
      <c r="K138" s="1">
        <v>0</v>
      </c>
      <c r="L138" s="2">
        <v>407949</v>
      </c>
      <c r="M138" s="1">
        <f>Table1[[#This Row],[Unit Price]]*Table1[[#This Row],[Quantity Ordered]]</f>
        <v>1631796</v>
      </c>
    </row>
    <row r="139" spans="1:13" hidden="1" x14ac:dyDescent="0.3">
      <c r="A139" t="s">
        <v>106</v>
      </c>
      <c r="B139" t="s">
        <v>107</v>
      </c>
      <c r="C139" t="s">
        <v>14</v>
      </c>
      <c r="D139" t="s">
        <v>15</v>
      </c>
      <c r="E139" t="s">
        <v>51</v>
      </c>
      <c r="F139" t="s">
        <v>17</v>
      </c>
      <c r="G139">
        <v>72</v>
      </c>
      <c r="H139">
        <v>72</v>
      </c>
      <c r="I139">
        <v>0</v>
      </c>
      <c r="J139" s="1">
        <v>6670800</v>
      </c>
      <c r="K139" s="1">
        <v>0</v>
      </c>
      <c r="L139" s="2">
        <v>92650</v>
      </c>
      <c r="M139" s="1">
        <f>Table1[[#This Row],[Unit Price]]*Table1[[#This Row],[Quantity Ordered]]</f>
        <v>6670800</v>
      </c>
    </row>
    <row r="140" spans="1:13" hidden="1" x14ac:dyDescent="0.3">
      <c r="A140" t="s">
        <v>106</v>
      </c>
      <c r="B140" t="s">
        <v>107</v>
      </c>
      <c r="C140" t="s">
        <v>14</v>
      </c>
      <c r="D140" t="s">
        <v>15</v>
      </c>
      <c r="E140" t="s">
        <v>21</v>
      </c>
      <c r="F140" t="s">
        <v>17</v>
      </c>
      <c r="G140">
        <v>72</v>
      </c>
      <c r="H140">
        <v>72</v>
      </c>
      <c r="I140">
        <v>0</v>
      </c>
      <c r="J140" t="s">
        <v>22</v>
      </c>
      <c r="K140" t="s">
        <v>22</v>
      </c>
      <c r="L140" t="s">
        <v>22</v>
      </c>
      <c r="M140" s="1" t="e">
        <f>Table1[[#This Row],[Unit Price]]*Table1[[#This Row],[Quantity Ordered]]</f>
        <v>#VALUE!</v>
      </c>
    </row>
    <row r="141" spans="1:13" hidden="1" x14ac:dyDescent="0.3">
      <c r="A141" t="s">
        <v>108</v>
      </c>
      <c r="B141" t="s">
        <v>109</v>
      </c>
      <c r="C141" t="s">
        <v>32</v>
      </c>
      <c r="D141" t="s">
        <v>37</v>
      </c>
      <c r="E141" t="s">
        <v>38</v>
      </c>
      <c r="F141" t="s">
        <v>17</v>
      </c>
      <c r="G141">
        <v>4</v>
      </c>
      <c r="H141">
        <v>4</v>
      </c>
      <c r="I141">
        <v>0</v>
      </c>
      <c r="J141" s="1">
        <v>291200</v>
      </c>
      <c r="K141" s="1">
        <v>0</v>
      </c>
      <c r="L141" s="2">
        <v>72800</v>
      </c>
      <c r="M141" s="1">
        <f>Table1[[#This Row],[Unit Price]]*Table1[[#This Row],[Quantity Ordered]]</f>
        <v>291200</v>
      </c>
    </row>
    <row r="142" spans="1:13" hidden="1" x14ac:dyDescent="0.3">
      <c r="A142" t="s">
        <v>110</v>
      </c>
      <c r="B142" t="s">
        <v>111</v>
      </c>
      <c r="C142" t="s">
        <v>14</v>
      </c>
      <c r="D142" t="s">
        <v>15</v>
      </c>
      <c r="E142" t="s">
        <v>16</v>
      </c>
      <c r="F142" t="s">
        <v>17</v>
      </c>
      <c r="G142">
        <v>42</v>
      </c>
      <c r="H142">
        <v>42</v>
      </c>
      <c r="I142">
        <v>0</v>
      </c>
      <c r="J142" s="1">
        <v>14822260</v>
      </c>
      <c r="K142" s="1">
        <v>0</v>
      </c>
      <c r="L142" s="2">
        <v>352910.96</v>
      </c>
      <c r="M142" s="1">
        <f>Table1[[#This Row],[Unit Price]]*Table1[[#This Row],[Quantity Ordered]]</f>
        <v>14822260.32</v>
      </c>
    </row>
    <row r="143" spans="1:13" hidden="1" x14ac:dyDescent="0.3">
      <c r="A143" t="s">
        <v>110</v>
      </c>
      <c r="B143" t="s">
        <v>111</v>
      </c>
      <c r="C143" t="s">
        <v>14</v>
      </c>
      <c r="D143" t="s">
        <v>15</v>
      </c>
      <c r="E143" t="s">
        <v>18</v>
      </c>
      <c r="F143" t="s">
        <v>17</v>
      </c>
      <c r="G143">
        <v>30</v>
      </c>
      <c r="H143">
        <v>30</v>
      </c>
      <c r="I143">
        <v>0</v>
      </c>
      <c r="J143" s="1">
        <v>3570304</v>
      </c>
      <c r="K143" s="1">
        <v>0</v>
      </c>
      <c r="L143" s="2">
        <v>119010.13</v>
      </c>
      <c r="M143" s="1">
        <f>Table1[[#This Row],[Unit Price]]*Table1[[#This Row],[Quantity Ordered]]</f>
        <v>3570303.9000000004</v>
      </c>
    </row>
    <row r="144" spans="1:13" hidden="1" x14ac:dyDescent="0.3">
      <c r="A144" t="s">
        <v>110</v>
      </c>
      <c r="B144" t="s">
        <v>111</v>
      </c>
      <c r="C144" t="s">
        <v>14</v>
      </c>
      <c r="D144" t="s">
        <v>15</v>
      </c>
      <c r="E144" t="s">
        <v>19</v>
      </c>
      <c r="F144" t="s">
        <v>17</v>
      </c>
      <c r="G144">
        <v>2</v>
      </c>
      <c r="H144">
        <v>2</v>
      </c>
      <c r="I144">
        <v>0</v>
      </c>
      <c r="J144" s="1">
        <v>153200</v>
      </c>
      <c r="K144" s="1">
        <v>0</v>
      </c>
      <c r="L144" s="2">
        <v>76600.240000000005</v>
      </c>
      <c r="M144" s="1">
        <f>Table1[[#This Row],[Unit Price]]*Table1[[#This Row],[Quantity Ordered]]</f>
        <v>153200.48000000001</v>
      </c>
    </row>
    <row r="145" spans="1:13" hidden="1" x14ac:dyDescent="0.3">
      <c r="A145" t="s">
        <v>110</v>
      </c>
      <c r="B145" t="s">
        <v>111</v>
      </c>
      <c r="C145" t="s">
        <v>14</v>
      </c>
      <c r="D145" t="s">
        <v>15</v>
      </c>
      <c r="E145" t="s">
        <v>20</v>
      </c>
      <c r="F145" t="s">
        <v>17</v>
      </c>
      <c r="G145">
        <v>16</v>
      </c>
      <c r="H145">
        <v>16</v>
      </c>
      <c r="I145">
        <v>0</v>
      </c>
      <c r="J145" s="1">
        <v>1225604</v>
      </c>
      <c r="K145" s="1">
        <v>0</v>
      </c>
      <c r="L145" s="2">
        <v>76600.240000000005</v>
      </c>
      <c r="M145" s="1">
        <f>Table1[[#This Row],[Unit Price]]*Table1[[#This Row],[Quantity Ordered]]</f>
        <v>1225603.8400000001</v>
      </c>
    </row>
    <row r="146" spans="1:13" hidden="1" x14ac:dyDescent="0.3">
      <c r="A146" t="s">
        <v>110</v>
      </c>
      <c r="B146" t="s">
        <v>111</v>
      </c>
      <c r="C146" t="s">
        <v>14</v>
      </c>
      <c r="D146" t="s">
        <v>15</v>
      </c>
      <c r="E146" t="s">
        <v>52</v>
      </c>
      <c r="F146" t="s">
        <v>17</v>
      </c>
      <c r="G146">
        <v>32</v>
      </c>
      <c r="H146">
        <v>32</v>
      </c>
      <c r="I146">
        <v>0</v>
      </c>
      <c r="J146" s="1">
        <v>2451208</v>
      </c>
      <c r="K146" s="1">
        <v>0</v>
      </c>
      <c r="L146" s="2">
        <v>76600.240000000005</v>
      </c>
      <c r="M146" s="1">
        <f>Table1[[#This Row],[Unit Price]]*Table1[[#This Row],[Quantity Ordered]]</f>
        <v>2451207.6800000002</v>
      </c>
    </row>
    <row r="147" spans="1:13" hidden="1" x14ac:dyDescent="0.3">
      <c r="A147" t="s">
        <v>110</v>
      </c>
      <c r="B147" t="s">
        <v>111</v>
      </c>
      <c r="C147" t="s">
        <v>14</v>
      </c>
      <c r="D147" t="s">
        <v>15</v>
      </c>
      <c r="E147" t="s">
        <v>21</v>
      </c>
      <c r="F147" t="s">
        <v>17</v>
      </c>
      <c r="G147">
        <v>72</v>
      </c>
      <c r="H147">
        <v>72</v>
      </c>
      <c r="I147">
        <v>0</v>
      </c>
      <c r="J147" t="s">
        <v>22</v>
      </c>
      <c r="K147" t="s">
        <v>22</v>
      </c>
      <c r="L147" t="s">
        <v>22</v>
      </c>
      <c r="M147" s="1" t="e">
        <f>Table1[[#This Row],[Unit Price]]*Table1[[#This Row],[Quantity Ordered]]</f>
        <v>#VALUE!</v>
      </c>
    </row>
    <row r="148" spans="1:13" hidden="1" x14ac:dyDescent="0.3">
      <c r="A148" t="s">
        <v>110</v>
      </c>
      <c r="B148" t="s">
        <v>111</v>
      </c>
      <c r="C148" t="s">
        <v>14</v>
      </c>
      <c r="D148" t="s">
        <v>53</v>
      </c>
      <c r="E148" t="s">
        <v>54</v>
      </c>
      <c r="F148" t="s">
        <v>17</v>
      </c>
      <c r="G148">
        <v>2</v>
      </c>
      <c r="H148">
        <v>2</v>
      </c>
      <c r="I148">
        <v>0</v>
      </c>
      <c r="J148" s="1">
        <v>1125346</v>
      </c>
      <c r="K148" s="1">
        <v>0</v>
      </c>
      <c r="L148" s="2">
        <v>562672.88</v>
      </c>
      <c r="M148" s="1">
        <f>Table1[[#This Row],[Unit Price]]*Table1[[#This Row],[Quantity Ordered]]</f>
        <v>1125345.76</v>
      </c>
    </row>
    <row r="149" spans="1:13" hidden="1" x14ac:dyDescent="0.3">
      <c r="A149" t="s">
        <v>110</v>
      </c>
      <c r="B149" t="s">
        <v>111</v>
      </c>
      <c r="C149" t="s">
        <v>55</v>
      </c>
      <c r="D149" t="s">
        <v>55</v>
      </c>
      <c r="E149" t="s">
        <v>56</v>
      </c>
      <c r="F149" t="s">
        <v>17</v>
      </c>
      <c r="G149">
        <v>1095</v>
      </c>
      <c r="H149">
        <v>1095</v>
      </c>
      <c r="I149">
        <v>0</v>
      </c>
      <c r="J149" s="1">
        <v>1020540</v>
      </c>
      <c r="K149" s="1">
        <v>0</v>
      </c>
      <c r="L149" s="2">
        <v>932</v>
      </c>
      <c r="M149" s="1">
        <f>Table1[[#This Row],[Unit Price]]*Table1[[#This Row],[Quantity Ordered]]</f>
        <v>1020540</v>
      </c>
    </row>
    <row r="150" spans="1:13" hidden="1" x14ac:dyDescent="0.3">
      <c r="A150" t="s">
        <v>110</v>
      </c>
      <c r="B150" t="s">
        <v>111</v>
      </c>
      <c r="C150" t="s">
        <v>55</v>
      </c>
      <c r="D150" t="s">
        <v>55</v>
      </c>
      <c r="E150" t="s">
        <v>57</v>
      </c>
      <c r="F150" t="s">
        <v>17</v>
      </c>
      <c r="G150">
        <v>72</v>
      </c>
      <c r="H150">
        <v>72</v>
      </c>
      <c r="I150">
        <v>0</v>
      </c>
      <c r="J150" t="s">
        <v>58</v>
      </c>
      <c r="K150" t="s">
        <v>58</v>
      </c>
      <c r="L150" t="s">
        <v>58</v>
      </c>
      <c r="M150" s="1" t="e">
        <f>Table1[[#This Row],[Unit Price]]*Table1[[#This Row],[Quantity Ordered]]</f>
        <v>#VALUE!</v>
      </c>
    </row>
    <row r="151" spans="1:13" hidden="1" x14ac:dyDescent="0.3">
      <c r="A151" t="s">
        <v>110</v>
      </c>
      <c r="B151" t="s">
        <v>111</v>
      </c>
      <c r="C151" t="s">
        <v>83</v>
      </c>
      <c r="D151" t="s">
        <v>83</v>
      </c>
      <c r="E151" t="s">
        <v>84</v>
      </c>
      <c r="F151" t="s">
        <v>17</v>
      </c>
      <c r="G151">
        <v>21</v>
      </c>
      <c r="H151">
        <v>21</v>
      </c>
      <c r="I151">
        <v>0</v>
      </c>
      <c r="J151" s="1">
        <v>1644657</v>
      </c>
      <c r="K151" s="1">
        <v>0</v>
      </c>
      <c r="L151" s="2">
        <v>78317</v>
      </c>
      <c r="M151" s="1">
        <f>Table1[[#This Row],[Unit Price]]*Table1[[#This Row],[Quantity Ordered]]</f>
        <v>1644657</v>
      </c>
    </row>
    <row r="152" spans="1:13" hidden="1" x14ac:dyDescent="0.3">
      <c r="A152" t="s">
        <v>110</v>
      </c>
      <c r="B152" t="s">
        <v>111</v>
      </c>
      <c r="C152" t="s">
        <v>83</v>
      </c>
      <c r="D152" t="s">
        <v>83</v>
      </c>
      <c r="E152" t="s">
        <v>85</v>
      </c>
      <c r="F152" t="s">
        <v>17</v>
      </c>
      <c r="G152">
        <v>10</v>
      </c>
      <c r="H152">
        <v>10</v>
      </c>
      <c r="I152">
        <v>0</v>
      </c>
      <c r="J152" s="1">
        <v>939810</v>
      </c>
      <c r="K152" s="1">
        <v>0</v>
      </c>
      <c r="L152" s="2">
        <v>93981</v>
      </c>
      <c r="M152" s="1">
        <f>Table1[[#This Row],[Unit Price]]*Table1[[#This Row],[Quantity Ordered]]</f>
        <v>939810</v>
      </c>
    </row>
    <row r="153" spans="1:13" hidden="1" x14ac:dyDescent="0.3">
      <c r="A153" t="s">
        <v>110</v>
      </c>
      <c r="B153" t="s">
        <v>111</v>
      </c>
      <c r="C153" t="s">
        <v>23</v>
      </c>
      <c r="D153" t="s">
        <v>23</v>
      </c>
      <c r="E153" t="s">
        <v>59</v>
      </c>
      <c r="F153" t="s">
        <v>17</v>
      </c>
      <c r="G153">
        <v>30</v>
      </c>
      <c r="H153">
        <v>30</v>
      </c>
      <c r="I153">
        <v>0</v>
      </c>
      <c r="J153" s="1">
        <v>17500846</v>
      </c>
      <c r="K153" s="1">
        <v>0</v>
      </c>
      <c r="L153" s="2">
        <v>583361.53</v>
      </c>
      <c r="M153" s="1">
        <f>Table1[[#This Row],[Unit Price]]*Table1[[#This Row],[Quantity Ordered]]</f>
        <v>17500845.900000002</v>
      </c>
    </row>
    <row r="154" spans="1:13" hidden="1" x14ac:dyDescent="0.3">
      <c r="A154" t="s">
        <v>110</v>
      </c>
      <c r="B154" t="s">
        <v>111</v>
      </c>
      <c r="C154" t="s">
        <v>23</v>
      </c>
      <c r="D154" t="s">
        <v>23</v>
      </c>
      <c r="E154" t="s">
        <v>24</v>
      </c>
      <c r="F154" t="s">
        <v>17</v>
      </c>
      <c r="G154">
        <v>38</v>
      </c>
      <c r="H154">
        <v>38</v>
      </c>
      <c r="I154">
        <v>0</v>
      </c>
      <c r="J154" s="1">
        <v>4324809</v>
      </c>
      <c r="K154" s="1">
        <v>0</v>
      </c>
      <c r="L154" s="2">
        <v>113810.76</v>
      </c>
      <c r="M154" s="1">
        <f>Table1[[#This Row],[Unit Price]]*Table1[[#This Row],[Quantity Ordered]]</f>
        <v>4324808.88</v>
      </c>
    </row>
    <row r="155" spans="1:13" hidden="1" x14ac:dyDescent="0.3">
      <c r="A155" t="s">
        <v>110</v>
      </c>
      <c r="B155" t="s">
        <v>111</v>
      </c>
      <c r="C155" t="s">
        <v>28</v>
      </c>
      <c r="D155" t="s">
        <v>53</v>
      </c>
      <c r="E155" t="s">
        <v>88</v>
      </c>
      <c r="F155" t="s">
        <v>17</v>
      </c>
      <c r="G155">
        <v>1</v>
      </c>
      <c r="H155">
        <v>1</v>
      </c>
      <c r="I155">
        <v>0</v>
      </c>
      <c r="J155" s="1">
        <v>1470000</v>
      </c>
      <c r="K155" s="1">
        <v>0</v>
      </c>
      <c r="L155" s="2">
        <v>1470000</v>
      </c>
      <c r="M155" s="1">
        <f>Table1[[#This Row],[Unit Price]]*Table1[[#This Row],[Quantity Ordered]]</f>
        <v>1470000</v>
      </c>
    </row>
    <row r="156" spans="1:13" hidden="1" x14ac:dyDescent="0.3">
      <c r="A156" t="s">
        <v>110</v>
      </c>
      <c r="B156" t="s">
        <v>111</v>
      </c>
      <c r="C156" t="s">
        <v>28</v>
      </c>
      <c r="D156" t="s">
        <v>29</v>
      </c>
      <c r="E156" t="s">
        <v>30</v>
      </c>
      <c r="F156" t="s">
        <v>17</v>
      </c>
      <c r="G156">
        <v>21</v>
      </c>
      <c r="H156">
        <v>21</v>
      </c>
      <c r="I156">
        <v>0</v>
      </c>
      <c r="J156" s="1">
        <v>29542127</v>
      </c>
      <c r="K156" s="1">
        <v>0</v>
      </c>
      <c r="L156" s="2">
        <v>1406767.94</v>
      </c>
      <c r="M156" s="1">
        <f>Table1[[#This Row],[Unit Price]]*Table1[[#This Row],[Quantity Ordered]]</f>
        <v>29542126.739999998</v>
      </c>
    </row>
    <row r="157" spans="1:13" hidden="1" x14ac:dyDescent="0.3">
      <c r="A157" t="s">
        <v>110</v>
      </c>
      <c r="B157" t="s">
        <v>111</v>
      </c>
      <c r="C157" t="s">
        <v>28</v>
      </c>
      <c r="D157" t="s">
        <v>29</v>
      </c>
      <c r="E157" t="s">
        <v>31</v>
      </c>
      <c r="F157" t="s">
        <v>17</v>
      </c>
      <c r="G157">
        <v>10</v>
      </c>
      <c r="H157">
        <v>10</v>
      </c>
      <c r="I157">
        <v>0</v>
      </c>
      <c r="J157" s="1">
        <v>14067679</v>
      </c>
      <c r="K157" s="1">
        <v>0</v>
      </c>
      <c r="L157" s="2">
        <v>1406767.94</v>
      </c>
      <c r="M157" s="1">
        <f>Table1[[#This Row],[Unit Price]]*Table1[[#This Row],[Quantity Ordered]]</f>
        <v>14067679.399999999</v>
      </c>
    </row>
    <row r="158" spans="1:13" hidden="1" x14ac:dyDescent="0.3">
      <c r="A158" t="s">
        <v>110</v>
      </c>
      <c r="B158" t="s">
        <v>111</v>
      </c>
      <c r="C158" t="s">
        <v>28</v>
      </c>
      <c r="D158" t="s">
        <v>97</v>
      </c>
      <c r="E158" t="s">
        <v>98</v>
      </c>
      <c r="F158" t="s">
        <v>17</v>
      </c>
      <c r="G158">
        <v>1</v>
      </c>
      <c r="H158">
        <v>1</v>
      </c>
      <c r="I158">
        <v>0</v>
      </c>
      <c r="J158" s="1">
        <v>365950</v>
      </c>
      <c r="K158" s="1">
        <v>0</v>
      </c>
      <c r="L158" s="2">
        <v>365949.82</v>
      </c>
      <c r="M158" s="1">
        <f>Table1[[#This Row],[Unit Price]]*Table1[[#This Row],[Quantity Ordered]]</f>
        <v>365949.82</v>
      </c>
    </row>
    <row r="159" spans="1:13" hidden="1" x14ac:dyDescent="0.3">
      <c r="A159" t="s">
        <v>110</v>
      </c>
      <c r="B159" t="s">
        <v>111</v>
      </c>
      <c r="C159" t="s">
        <v>32</v>
      </c>
      <c r="D159" t="s">
        <v>33</v>
      </c>
      <c r="E159" t="s">
        <v>62</v>
      </c>
      <c r="F159" t="s">
        <v>17</v>
      </c>
      <c r="G159">
        <v>2</v>
      </c>
      <c r="H159">
        <v>2</v>
      </c>
      <c r="I159">
        <v>0</v>
      </c>
      <c r="J159" s="1">
        <v>133438</v>
      </c>
      <c r="K159" s="1">
        <v>0</v>
      </c>
      <c r="L159" s="2">
        <v>66718.75</v>
      </c>
      <c r="M159" s="1">
        <f>Table1[[#This Row],[Unit Price]]*Table1[[#This Row],[Quantity Ordered]]</f>
        <v>133437.5</v>
      </c>
    </row>
    <row r="160" spans="1:13" hidden="1" x14ac:dyDescent="0.3">
      <c r="A160" t="s">
        <v>110</v>
      </c>
      <c r="B160" t="s">
        <v>111</v>
      </c>
      <c r="C160" t="s">
        <v>32</v>
      </c>
      <c r="D160" t="s">
        <v>35</v>
      </c>
      <c r="E160" t="s">
        <v>36</v>
      </c>
      <c r="F160" t="s">
        <v>17</v>
      </c>
      <c r="G160">
        <v>4</v>
      </c>
      <c r="H160">
        <v>4</v>
      </c>
      <c r="I160">
        <v>0</v>
      </c>
      <c r="J160" s="1">
        <v>38843</v>
      </c>
      <c r="K160" s="1">
        <v>0</v>
      </c>
      <c r="L160" s="2">
        <v>9710.7099999999991</v>
      </c>
      <c r="M160" s="1">
        <f>Table1[[#This Row],[Unit Price]]*Table1[[#This Row],[Quantity Ordered]]</f>
        <v>38842.839999999997</v>
      </c>
    </row>
    <row r="161" spans="1:13" hidden="1" x14ac:dyDescent="0.3">
      <c r="A161" t="s">
        <v>110</v>
      </c>
      <c r="B161" t="s">
        <v>111</v>
      </c>
      <c r="C161" t="s">
        <v>32</v>
      </c>
      <c r="D161" t="s">
        <v>37</v>
      </c>
      <c r="E161" t="s">
        <v>38</v>
      </c>
      <c r="F161" t="s">
        <v>17</v>
      </c>
      <c r="G161">
        <v>2</v>
      </c>
      <c r="H161">
        <v>2</v>
      </c>
      <c r="I161">
        <v>0</v>
      </c>
      <c r="J161" s="1">
        <v>145600</v>
      </c>
      <c r="K161" s="1">
        <v>0</v>
      </c>
      <c r="L161" s="2">
        <v>72800</v>
      </c>
      <c r="M161" s="1">
        <f>Table1[[#This Row],[Unit Price]]*Table1[[#This Row],[Quantity Ordered]]</f>
        <v>145600</v>
      </c>
    </row>
    <row r="162" spans="1:13" hidden="1" x14ac:dyDescent="0.3">
      <c r="A162" t="s">
        <v>110</v>
      </c>
      <c r="B162" t="s">
        <v>111</v>
      </c>
      <c r="C162" t="s">
        <v>48</v>
      </c>
      <c r="D162" t="s">
        <v>49</v>
      </c>
      <c r="E162" t="s">
        <v>50</v>
      </c>
      <c r="F162" t="s">
        <v>17</v>
      </c>
      <c r="G162">
        <v>1200</v>
      </c>
      <c r="H162">
        <v>1200</v>
      </c>
      <c r="I162">
        <v>0</v>
      </c>
      <c r="J162" s="1">
        <v>631560</v>
      </c>
      <c r="K162" s="1">
        <v>0</v>
      </c>
      <c r="L162" s="2">
        <v>526.29999999999995</v>
      </c>
      <c r="M162" s="1">
        <f>Table1[[#This Row],[Unit Price]]*Table1[[#This Row],[Quantity Ordered]]</f>
        <v>631560</v>
      </c>
    </row>
    <row r="163" spans="1:13" hidden="1" x14ac:dyDescent="0.3">
      <c r="A163" t="s">
        <v>110</v>
      </c>
      <c r="B163" t="s">
        <v>111</v>
      </c>
      <c r="C163" t="s">
        <v>101</v>
      </c>
      <c r="D163" t="s">
        <v>102</v>
      </c>
      <c r="E163" t="s">
        <v>103</v>
      </c>
      <c r="F163" t="s">
        <v>17</v>
      </c>
      <c r="G163">
        <v>2</v>
      </c>
      <c r="H163">
        <v>2</v>
      </c>
      <c r="I163">
        <v>0</v>
      </c>
      <c r="J163" s="1">
        <v>1655365</v>
      </c>
      <c r="K163" s="1">
        <v>0</v>
      </c>
      <c r="L163" s="2">
        <v>827682.44</v>
      </c>
      <c r="M163" s="1">
        <f>Table1[[#This Row],[Unit Price]]*Table1[[#This Row],[Quantity Ordered]]</f>
        <v>1655364.88</v>
      </c>
    </row>
    <row r="164" spans="1:13" hidden="1" x14ac:dyDescent="0.3">
      <c r="A164" t="s">
        <v>110</v>
      </c>
      <c r="B164" t="s">
        <v>111</v>
      </c>
      <c r="C164" t="s">
        <v>39</v>
      </c>
      <c r="D164" t="s">
        <v>40</v>
      </c>
      <c r="E164" t="s">
        <v>41</v>
      </c>
      <c r="F164" t="s">
        <v>17</v>
      </c>
      <c r="G164">
        <v>30</v>
      </c>
      <c r="H164">
        <v>30</v>
      </c>
      <c r="I164">
        <v>0</v>
      </c>
      <c r="J164" s="1">
        <v>2413740</v>
      </c>
      <c r="K164" s="1">
        <v>0</v>
      </c>
      <c r="L164" s="2">
        <v>80458</v>
      </c>
      <c r="M164" s="1">
        <f>Table1[[#This Row],[Unit Price]]*Table1[[#This Row],[Quantity Ordered]]</f>
        <v>2413740</v>
      </c>
    </row>
    <row r="165" spans="1:13" hidden="1" x14ac:dyDescent="0.3">
      <c r="A165" t="s">
        <v>110</v>
      </c>
      <c r="B165" t="s">
        <v>111</v>
      </c>
      <c r="C165" t="s">
        <v>39</v>
      </c>
      <c r="D165" t="s">
        <v>42</v>
      </c>
      <c r="E165" t="s">
        <v>75</v>
      </c>
      <c r="F165" t="s">
        <v>17</v>
      </c>
      <c r="G165">
        <v>4</v>
      </c>
      <c r="H165">
        <v>4</v>
      </c>
      <c r="I165">
        <v>0</v>
      </c>
      <c r="J165" s="1">
        <v>1631796</v>
      </c>
      <c r="K165" s="1">
        <v>0</v>
      </c>
      <c r="L165" s="2">
        <v>407949</v>
      </c>
      <c r="M165" s="1">
        <f>Table1[[#This Row],[Unit Price]]*Table1[[#This Row],[Quantity Ordered]]</f>
        <v>1631796</v>
      </c>
    </row>
    <row r="166" spans="1:13" hidden="1" x14ac:dyDescent="0.3">
      <c r="A166" t="s">
        <v>110</v>
      </c>
      <c r="B166" t="s">
        <v>111</v>
      </c>
      <c r="C166" t="s">
        <v>28</v>
      </c>
      <c r="D166" t="s">
        <v>76</v>
      </c>
      <c r="E166" t="s">
        <v>112</v>
      </c>
      <c r="F166" t="s">
        <v>17</v>
      </c>
      <c r="G166">
        <v>72</v>
      </c>
      <c r="H166">
        <v>72</v>
      </c>
      <c r="I166">
        <v>0</v>
      </c>
      <c r="J166" s="1">
        <v>7511868</v>
      </c>
      <c r="K166" s="1">
        <v>0</v>
      </c>
      <c r="L166" s="2">
        <v>104331.5</v>
      </c>
      <c r="M166" s="1">
        <f>Table1[[#This Row],[Unit Price]]*Table1[[#This Row],[Quantity Ordered]]</f>
        <v>7511868</v>
      </c>
    </row>
    <row r="167" spans="1:13" hidden="1" x14ac:dyDescent="0.3">
      <c r="A167" t="s">
        <v>113</v>
      </c>
      <c r="B167" t="s">
        <v>114</v>
      </c>
      <c r="C167" t="s">
        <v>32</v>
      </c>
      <c r="D167" t="s">
        <v>37</v>
      </c>
      <c r="E167" t="s">
        <v>38</v>
      </c>
      <c r="F167" t="s">
        <v>17</v>
      </c>
      <c r="G167">
        <v>4</v>
      </c>
      <c r="H167">
        <v>4</v>
      </c>
      <c r="I167">
        <v>0</v>
      </c>
      <c r="J167" s="1">
        <v>291200</v>
      </c>
      <c r="K167" s="1">
        <v>0</v>
      </c>
      <c r="L167" s="2">
        <v>72800</v>
      </c>
      <c r="M167" s="1">
        <f>Table1[[#This Row],[Unit Price]]*Table1[[#This Row],[Quantity Ordered]]</f>
        <v>291200</v>
      </c>
    </row>
    <row r="168" spans="1:13" x14ac:dyDescent="0.3">
      <c r="A168" t="s">
        <v>115</v>
      </c>
      <c r="B168" t="s">
        <v>116</v>
      </c>
      <c r="C168" t="s">
        <v>14</v>
      </c>
      <c r="D168" t="s">
        <v>15</v>
      </c>
      <c r="E168" t="s">
        <v>16</v>
      </c>
      <c r="F168" t="s">
        <v>17</v>
      </c>
      <c r="G168">
        <v>42</v>
      </c>
      <c r="H168">
        <v>42</v>
      </c>
      <c r="I168">
        <v>0</v>
      </c>
      <c r="J168" s="1">
        <v>14822260</v>
      </c>
      <c r="K168" s="1">
        <v>0</v>
      </c>
      <c r="L168" s="1">
        <v>352910.96</v>
      </c>
      <c r="M168" s="4">
        <f>Table1[[#This Row],[Unit Price]]*Table1[[#This Row],[Quantity Ordered]]</f>
        <v>14822260.32</v>
      </c>
    </row>
    <row r="169" spans="1:13" x14ac:dyDescent="0.3">
      <c r="A169" t="s">
        <v>115</v>
      </c>
      <c r="B169" t="s">
        <v>116</v>
      </c>
      <c r="C169" t="s">
        <v>14</v>
      </c>
      <c r="D169" t="s">
        <v>15</v>
      </c>
      <c r="E169" t="s">
        <v>18</v>
      </c>
      <c r="F169" t="s">
        <v>17</v>
      </c>
      <c r="G169">
        <v>30</v>
      </c>
      <c r="H169">
        <v>30</v>
      </c>
      <c r="I169">
        <v>0</v>
      </c>
      <c r="J169" s="1">
        <v>3570304</v>
      </c>
      <c r="K169" s="1">
        <v>0</v>
      </c>
      <c r="L169" s="1">
        <v>119010.13</v>
      </c>
      <c r="M169" s="4">
        <f>Table1[[#This Row],[Unit Price]]*Table1[[#This Row],[Quantity Ordered]]</f>
        <v>3570303.9000000004</v>
      </c>
    </row>
    <row r="170" spans="1:13" x14ac:dyDescent="0.3">
      <c r="A170" t="s">
        <v>115</v>
      </c>
      <c r="B170" t="s">
        <v>116</v>
      </c>
      <c r="C170" t="s">
        <v>14</v>
      </c>
      <c r="D170" t="s">
        <v>15</v>
      </c>
      <c r="E170" t="s">
        <v>20</v>
      </c>
      <c r="F170" t="s">
        <v>17</v>
      </c>
      <c r="G170">
        <v>58</v>
      </c>
      <c r="H170">
        <v>58</v>
      </c>
      <c r="I170">
        <v>0</v>
      </c>
      <c r="J170" s="1">
        <v>4442814</v>
      </c>
      <c r="K170" s="1">
        <v>0</v>
      </c>
      <c r="L170" s="1">
        <v>76600.240000000005</v>
      </c>
      <c r="M170" s="4">
        <f>Table1[[#This Row],[Unit Price]]*Table1[[#This Row],[Quantity Ordered]]</f>
        <v>4442813.92</v>
      </c>
    </row>
    <row r="171" spans="1:13" x14ac:dyDescent="0.3">
      <c r="A171" t="s">
        <v>115</v>
      </c>
      <c r="B171" t="s">
        <v>116</v>
      </c>
      <c r="C171" t="s">
        <v>14</v>
      </c>
      <c r="D171" t="s">
        <v>15</v>
      </c>
      <c r="E171" t="s">
        <v>19</v>
      </c>
      <c r="F171" t="s">
        <v>17</v>
      </c>
      <c r="G171">
        <v>2</v>
      </c>
      <c r="H171">
        <v>2</v>
      </c>
      <c r="I171">
        <v>0</v>
      </c>
      <c r="J171" s="1">
        <v>153200</v>
      </c>
      <c r="K171" s="1">
        <v>0</v>
      </c>
      <c r="L171" s="1">
        <v>76600.240000000005</v>
      </c>
      <c r="M171" s="4">
        <f>Table1[[#This Row],[Unit Price]]*Table1[[#This Row],[Quantity Ordered]]</f>
        <v>153200.48000000001</v>
      </c>
    </row>
    <row r="172" spans="1:13" x14ac:dyDescent="0.3">
      <c r="A172" t="s">
        <v>115</v>
      </c>
      <c r="B172" t="s">
        <v>116</v>
      </c>
      <c r="C172" t="s">
        <v>14</v>
      </c>
      <c r="D172" t="s">
        <v>15</v>
      </c>
      <c r="E172" t="s">
        <v>52</v>
      </c>
      <c r="F172" t="s">
        <v>17</v>
      </c>
      <c r="G172">
        <v>54</v>
      </c>
      <c r="H172">
        <v>54</v>
      </c>
      <c r="I172">
        <v>0</v>
      </c>
      <c r="J172" s="1">
        <v>4136413</v>
      </c>
      <c r="K172" s="1">
        <v>0</v>
      </c>
      <c r="L172" s="1">
        <v>76600.240000000005</v>
      </c>
      <c r="M172" s="4">
        <f>Table1[[#This Row],[Unit Price]]*Table1[[#This Row],[Quantity Ordered]]</f>
        <v>4136412.9600000004</v>
      </c>
    </row>
    <row r="173" spans="1:13" x14ac:dyDescent="0.3">
      <c r="A173" t="s">
        <v>115</v>
      </c>
      <c r="B173" t="s">
        <v>116</v>
      </c>
      <c r="C173" t="s">
        <v>14</v>
      </c>
      <c r="D173" t="s">
        <v>15</v>
      </c>
      <c r="E173" t="s">
        <v>51</v>
      </c>
      <c r="F173" t="s">
        <v>17</v>
      </c>
      <c r="G173">
        <v>54</v>
      </c>
      <c r="H173">
        <v>54</v>
      </c>
      <c r="I173">
        <v>0</v>
      </c>
      <c r="J173" s="1">
        <v>5003100</v>
      </c>
      <c r="K173" s="1">
        <v>0</v>
      </c>
      <c r="L173" s="1">
        <v>92650</v>
      </c>
      <c r="M173" s="4">
        <f>Table1[[#This Row],[Unit Price]]*Table1[[#This Row],[Quantity Ordered]]</f>
        <v>5003100</v>
      </c>
    </row>
    <row r="174" spans="1:13" x14ac:dyDescent="0.3">
      <c r="A174" t="s">
        <v>115</v>
      </c>
      <c r="B174" t="s">
        <v>116</v>
      </c>
      <c r="C174" t="s">
        <v>14</v>
      </c>
      <c r="D174" t="s">
        <v>15</v>
      </c>
      <c r="E174" t="s">
        <v>21</v>
      </c>
      <c r="F174" t="s">
        <v>17</v>
      </c>
      <c r="G174">
        <v>54</v>
      </c>
      <c r="H174">
        <v>54</v>
      </c>
      <c r="I174">
        <v>0</v>
      </c>
      <c r="J174" t="s">
        <v>22</v>
      </c>
      <c r="K174" t="s">
        <v>22</v>
      </c>
      <c r="L174" s="1" t="s">
        <v>22</v>
      </c>
      <c r="M174" s="4"/>
    </row>
    <row r="175" spans="1:13" x14ac:dyDescent="0.3">
      <c r="A175" t="s">
        <v>115</v>
      </c>
      <c r="B175" t="s">
        <v>116</v>
      </c>
      <c r="C175" t="s">
        <v>55</v>
      </c>
      <c r="D175" t="s">
        <v>55</v>
      </c>
      <c r="E175" t="s">
        <v>56</v>
      </c>
      <c r="F175" t="s">
        <v>17</v>
      </c>
      <c r="G175">
        <v>1114</v>
      </c>
      <c r="H175">
        <v>1114</v>
      </c>
      <c r="I175">
        <v>0</v>
      </c>
      <c r="J175" s="1">
        <v>1038248</v>
      </c>
      <c r="K175" s="1">
        <v>0</v>
      </c>
      <c r="L175" s="1">
        <v>932</v>
      </c>
      <c r="M175" s="4">
        <f>Table1[[#This Row],[Unit Price]]*Table1[[#This Row],[Quantity Ordered]]</f>
        <v>1038248</v>
      </c>
    </row>
    <row r="176" spans="1:13" x14ac:dyDescent="0.3">
      <c r="A176" t="s">
        <v>115</v>
      </c>
      <c r="B176" t="s">
        <v>116</v>
      </c>
      <c r="C176" t="s">
        <v>55</v>
      </c>
      <c r="D176" t="s">
        <v>55</v>
      </c>
      <c r="E176" t="s">
        <v>57</v>
      </c>
      <c r="F176" t="s">
        <v>17</v>
      </c>
      <c r="G176">
        <v>72</v>
      </c>
      <c r="H176">
        <v>72</v>
      </c>
      <c r="I176">
        <v>0</v>
      </c>
      <c r="J176" t="s">
        <v>58</v>
      </c>
      <c r="K176" t="s">
        <v>58</v>
      </c>
      <c r="L176" s="1" t="s">
        <v>58</v>
      </c>
      <c r="M176" s="4"/>
    </row>
    <row r="177" spans="1:13" x14ac:dyDescent="0.3">
      <c r="A177" t="s">
        <v>115</v>
      </c>
      <c r="B177" t="s">
        <v>116</v>
      </c>
      <c r="C177" t="s">
        <v>23</v>
      </c>
      <c r="D177" t="s">
        <v>23</v>
      </c>
      <c r="E177" t="s">
        <v>59</v>
      </c>
      <c r="F177" t="s">
        <v>17</v>
      </c>
      <c r="G177">
        <v>30</v>
      </c>
      <c r="H177">
        <v>30</v>
      </c>
      <c r="I177">
        <v>0</v>
      </c>
      <c r="J177" s="1">
        <v>17500846</v>
      </c>
      <c r="K177" s="1">
        <v>0</v>
      </c>
      <c r="L177" s="1">
        <v>583361.53</v>
      </c>
      <c r="M177" s="4">
        <f>Table1[[#This Row],[Unit Price]]*Table1[[#This Row],[Quantity Ordered]]</f>
        <v>17500845.900000002</v>
      </c>
    </row>
    <row r="178" spans="1:13" x14ac:dyDescent="0.3">
      <c r="A178" t="s">
        <v>115</v>
      </c>
      <c r="B178" t="s">
        <v>116</v>
      </c>
      <c r="C178" t="s">
        <v>23</v>
      </c>
      <c r="D178" t="s">
        <v>23</v>
      </c>
      <c r="E178" t="s">
        <v>24</v>
      </c>
      <c r="F178" t="s">
        <v>17</v>
      </c>
      <c r="G178">
        <v>48</v>
      </c>
      <c r="H178">
        <v>48</v>
      </c>
      <c r="I178">
        <v>0</v>
      </c>
      <c r="J178" s="1">
        <v>5462916</v>
      </c>
      <c r="K178" s="1">
        <v>0</v>
      </c>
      <c r="L178" s="1">
        <v>113810.76</v>
      </c>
      <c r="M178" s="4">
        <f>Table1[[#This Row],[Unit Price]]*Table1[[#This Row],[Quantity Ordered]]</f>
        <v>5462916.4799999995</v>
      </c>
    </row>
    <row r="179" spans="1:13" x14ac:dyDescent="0.3">
      <c r="A179" t="s">
        <v>115</v>
      </c>
      <c r="B179" t="s">
        <v>116</v>
      </c>
      <c r="C179" t="s">
        <v>48</v>
      </c>
      <c r="D179" t="s">
        <v>49</v>
      </c>
      <c r="E179" t="s">
        <v>50</v>
      </c>
      <c r="F179" t="s">
        <v>17</v>
      </c>
      <c r="G179">
        <v>1200</v>
      </c>
      <c r="H179">
        <v>1200</v>
      </c>
      <c r="I179">
        <v>0</v>
      </c>
      <c r="J179" s="1">
        <v>631560</v>
      </c>
      <c r="K179" s="1">
        <v>0</v>
      </c>
      <c r="L179" s="1">
        <v>526.29999999999995</v>
      </c>
      <c r="M179" s="4">
        <f>Table1[[#This Row],[Unit Price]]*Table1[[#This Row],[Quantity Ordered]]</f>
        <v>631560</v>
      </c>
    </row>
    <row r="180" spans="1:13" x14ac:dyDescent="0.3">
      <c r="A180" t="s">
        <v>115</v>
      </c>
      <c r="B180" t="s">
        <v>116</v>
      </c>
      <c r="C180" t="s">
        <v>25</v>
      </c>
      <c r="D180" t="s">
        <v>25</v>
      </c>
      <c r="E180" t="s">
        <v>60</v>
      </c>
      <c r="F180" t="s">
        <v>17</v>
      </c>
      <c r="G180">
        <v>21</v>
      </c>
      <c r="H180">
        <v>21</v>
      </c>
      <c r="I180">
        <v>0</v>
      </c>
      <c r="J180" s="1">
        <v>440880</v>
      </c>
      <c r="K180" s="1">
        <v>0</v>
      </c>
      <c r="L180" s="1">
        <v>20994.28</v>
      </c>
      <c r="M180" s="4">
        <f>Table1[[#This Row],[Unit Price]]*Table1[[#This Row],[Quantity Ordered]]</f>
        <v>440879.88</v>
      </c>
    </row>
    <row r="181" spans="1:13" x14ac:dyDescent="0.3">
      <c r="A181" t="s">
        <v>115</v>
      </c>
      <c r="B181" t="s">
        <v>116</v>
      </c>
      <c r="C181" t="s">
        <v>25</v>
      </c>
      <c r="D181" t="s">
        <v>25</v>
      </c>
      <c r="E181" t="s">
        <v>61</v>
      </c>
      <c r="F181" t="s">
        <v>17</v>
      </c>
      <c r="G181">
        <v>10</v>
      </c>
      <c r="H181">
        <v>10</v>
      </c>
      <c r="I181">
        <v>0</v>
      </c>
      <c r="J181" s="1">
        <v>209943</v>
      </c>
      <c r="K181" s="1">
        <v>0</v>
      </c>
      <c r="L181" s="1">
        <v>20994.28</v>
      </c>
      <c r="M181" s="4">
        <f>Table1[[#This Row],[Unit Price]]*Table1[[#This Row],[Quantity Ordered]]</f>
        <v>209942.8</v>
      </c>
    </row>
    <row r="182" spans="1:13" x14ac:dyDescent="0.3">
      <c r="A182" t="s">
        <v>115</v>
      </c>
      <c r="B182" t="s">
        <v>116</v>
      </c>
      <c r="C182" t="s">
        <v>28</v>
      </c>
      <c r="D182" t="s">
        <v>29</v>
      </c>
      <c r="E182" t="s">
        <v>30</v>
      </c>
      <c r="F182" t="s">
        <v>17</v>
      </c>
      <c r="G182">
        <v>21</v>
      </c>
      <c r="H182">
        <v>21</v>
      </c>
      <c r="I182">
        <v>0</v>
      </c>
      <c r="J182" s="1">
        <v>29542127</v>
      </c>
      <c r="K182" s="1">
        <v>0</v>
      </c>
      <c r="L182" s="1">
        <v>1406767.94</v>
      </c>
      <c r="M182" s="4">
        <f>Table1[[#This Row],[Unit Price]]*Table1[[#This Row],[Quantity Ordered]]</f>
        <v>29542126.739999998</v>
      </c>
    </row>
    <row r="183" spans="1:13" x14ac:dyDescent="0.3">
      <c r="A183" t="s">
        <v>115</v>
      </c>
      <c r="B183" t="s">
        <v>116</v>
      </c>
      <c r="C183" t="s">
        <v>28</v>
      </c>
      <c r="D183" t="s">
        <v>29</v>
      </c>
      <c r="E183" t="s">
        <v>31</v>
      </c>
      <c r="F183" t="s">
        <v>17</v>
      </c>
      <c r="G183">
        <v>10</v>
      </c>
      <c r="H183">
        <v>10</v>
      </c>
      <c r="I183">
        <v>0</v>
      </c>
      <c r="J183" s="1">
        <v>14067679</v>
      </c>
      <c r="K183" s="1">
        <v>0</v>
      </c>
      <c r="L183" s="1">
        <v>1406767.94</v>
      </c>
      <c r="M183" s="4">
        <f>Table1[[#This Row],[Unit Price]]*Table1[[#This Row],[Quantity Ordered]]</f>
        <v>14067679.399999999</v>
      </c>
    </row>
    <row r="184" spans="1:13" x14ac:dyDescent="0.3">
      <c r="A184" t="s">
        <v>115</v>
      </c>
      <c r="B184" t="s">
        <v>116</v>
      </c>
      <c r="C184" t="s">
        <v>28</v>
      </c>
      <c r="D184" t="s">
        <v>97</v>
      </c>
      <c r="E184" t="s">
        <v>98</v>
      </c>
      <c r="F184" t="s">
        <v>17</v>
      </c>
      <c r="G184">
        <v>9</v>
      </c>
      <c r="H184">
        <v>9</v>
      </c>
      <c r="I184">
        <v>0</v>
      </c>
      <c r="J184" s="1">
        <v>3293548</v>
      </c>
      <c r="K184" s="1">
        <v>0</v>
      </c>
      <c r="L184" s="1">
        <v>365949.82</v>
      </c>
      <c r="M184" s="4">
        <f>Table1[[#This Row],[Unit Price]]*Table1[[#This Row],[Quantity Ordered]]</f>
        <v>3293548.38</v>
      </c>
    </row>
    <row r="185" spans="1:13" x14ac:dyDescent="0.3">
      <c r="A185" t="s">
        <v>115</v>
      </c>
      <c r="B185" t="s">
        <v>116</v>
      </c>
      <c r="C185" t="s">
        <v>32</v>
      </c>
      <c r="D185" t="s">
        <v>33</v>
      </c>
      <c r="E185" t="s">
        <v>62</v>
      </c>
      <c r="F185" t="s">
        <v>17</v>
      </c>
      <c r="G185">
        <v>2</v>
      </c>
      <c r="H185">
        <v>2</v>
      </c>
      <c r="I185">
        <v>0</v>
      </c>
      <c r="J185" s="1">
        <v>133438</v>
      </c>
      <c r="K185" s="1">
        <v>0</v>
      </c>
      <c r="L185" s="1">
        <v>66718.75</v>
      </c>
      <c r="M185" s="4">
        <f>Table1[[#This Row],[Unit Price]]*Table1[[#This Row],[Quantity Ordered]]</f>
        <v>133437.5</v>
      </c>
    </row>
    <row r="186" spans="1:13" x14ac:dyDescent="0.3">
      <c r="A186" t="s">
        <v>115</v>
      </c>
      <c r="B186" t="s">
        <v>116</v>
      </c>
      <c r="C186" t="s">
        <v>32</v>
      </c>
      <c r="D186" t="s">
        <v>35</v>
      </c>
      <c r="E186" t="s">
        <v>36</v>
      </c>
      <c r="F186" t="s">
        <v>17</v>
      </c>
      <c r="G186">
        <v>4</v>
      </c>
      <c r="H186">
        <v>4</v>
      </c>
      <c r="I186">
        <v>0</v>
      </c>
      <c r="J186" s="1">
        <v>38843</v>
      </c>
      <c r="K186" s="1">
        <v>0</v>
      </c>
      <c r="L186" s="1">
        <v>9710.7099999999991</v>
      </c>
      <c r="M186" s="4">
        <f>Table1[[#This Row],[Unit Price]]*Table1[[#This Row],[Quantity Ordered]]</f>
        <v>38842.839999999997</v>
      </c>
    </row>
    <row r="187" spans="1:13" x14ac:dyDescent="0.3">
      <c r="A187" t="s">
        <v>115</v>
      </c>
      <c r="B187" t="s">
        <v>116</v>
      </c>
      <c r="C187" t="s">
        <v>32</v>
      </c>
      <c r="D187" t="s">
        <v>37</v>
      </c>
      <c r="E187" t="s">
        <v>38</v>
      </c>
      <c r="F187" t="s">
        <v>17</v>
      </c>
      <c r="G187">
        <v>2</v>
      </c>
      <c r="H187">
        <v>2</v>
      </c>
      <c r="I187">
        <v>0</v>
      </c>
      <c r="J187" s="1">
        <v>145600</v>
      </c>
      <c r="K187" s="1">
        <v>0</v>
      </c>
      <c r="L187" s="1">
        <v>72800</v>
      </c>
      <c r="M187" s="4">
        <f>Table1[[#This Row],[Unit Price]]*Table1[[#This Row],[Quantity Ordered]]</f>
        <v>145600</v>
      </c>
    </row>
    <row r="188" spans="1:13" x14ac:dyDescent="0.3">
      <c r="A188" t="s">
        <v>115</v>
      </c>
      <c r="B188" t="s">
        <v>116</v>
      </c>
      <c r="C188" t="s">
        <v>101</v>
      </c>
      <c r="D188" t="s">
        <v>102</v>
      </c>
      <c r="E188" t="s">
        <v>103</v>
      </c>
      <c r="F188" t="s">
        <v>17</v>
      </c>
      <c r="G188">
        <v>18</v>
      </c>
      <c r="H188">
        <v>18</v>
      </c>
      <c r="I188">
        <v>0</v>
      </c>
      <c r="J188" s="1">
        <v>14898284</v>
      </c>
      <c r="K188" s="1">
        <v>0</v>
      </c>
      <c r="L188" s="1">
        <v>827682.44</v>
      </c>
      <c r="M188" s="4">
        <f>Table1[[#This Row],[Unit Price]]*Table1[[#This Row],[Quantity Ordered]]</f>
        <v>14898283.919999998</v>
      </c>
    </row>
    <row r="189" spans="1:13" x14ac:dyDescent="0.3">
      <c r="A189" t="s">
        <v>115</v>
      </c>
      <c r="B189" t="s">
        <v>116</v>
      </c>
      <c r="C189" t="s">
        <v>39</v>
      </c>
      <c r="D189" t="s">
        <v>40</v>
      </c>
      <c r="E189" t="s">
        <v>41</v>
      </c>
      <c r="F189" t="s">
        <v>17</v>
      </c>
      <c r="G189">
        <v>30</v>
      </c>
      <c r="H189">
        <v>30</v>
      </c>
      <c r="I189">
        <v>0</v>
      </c>
      <c r="J189" s="1">
        <v>2413740</v>
      </c>
      <c r="K189" s="1">
        <v>0</v>
      </c>
      <c r="L189" s="1">
        <v>80458</v>
      </c>
      <c r="M189" s="4">
        <f>Table1[[#This Row],[Unit Price]]*Table1[[#This Row],[Quantity Ordered]]</f>
        <v>2413740</v>
      </c>
    </row>
    <row r="190" spans="1:13" x14ac:dyDescent="0.3">
      <c r="A190" t="s">
        <v>115</v>
      </c>
      <c r="B190" t="s">
        <v>116</v>
      </c>
      <c r="C190" t="s">
        <v>39</v>
      </c>
      <c r="D190" t="s">
        <v>42</v>
      </c>
      <c r="E190" t="s">
        <v>75</v>
      </c>
      <c r="F190" t="s">
        <v>17</v>
      </c>
      <c r="G190">
        <v>4</v>
      </c>
      <c r="H190">
        <v>4</v>
      </c>
      <c r="I190">
        <v>0</v>
      </c>
      <c r="J190" s="1">
        <v>1631796</v>
      </c>
      <c r="K190" s="1">
        <v>0</v>
      </c>
      <c r="L190" s="1">
        <v>407949</v>
      </c>
      <c r="M190" s="4">
        <f>Table1[[#This Row],[Unit Price]]*Table1[[#This Row],[Quantity Ordered]]</f>
        <v>1631796</v>
      </c>
    </row>
    <row r="191" spans="1:13" x14ac:dyDescent="0.3">
      <c r="A191" t="s">
        <v>117</v>
      </c>
      <c r="B191" t="s">
        <v>118</v>
      </c>
      <c r="C191" t="s">
        <v>32</v>
      </c>
      <c r="D191" t="s">
        <v>37</v>
      </c>
      <c r="E191" t="s">
        <v>38</v>
      </c>
      <c r="F191" t="s">
        <v>17</v>
      </c>
      <c r="G191">
        <v>4</v>
      </c>
      <c r="H191">
        <v>4</v>
      </c>
      <c r="I191">
        <v>0</v>
      </c>
      <c r="J191" s="1">
        <v>291200</v>
      </c>
      <c r="K191" s="1">
        <v>0</v>
      </c>
      <c r="L191" s="1">
        <v>72800</v>
      </c>
      <c r="M191" s="4">
        <f>Table1[[#This Row],[Unit Price]]*Table1[[#This Row],[Quantity Ordered]]</f>
        <v>291200</v>
      </c>
    </row>
    <row r="192" spans="1:13" x14ac:dyDescent="0.3">
      <c r="B192" t="s">
        <v>119</v>
      </c>
      <c r="J192" s="3">
        <f>SUBTOTAL(109,Table1[Extended Amount])</f>
        <v>123868739</v>
      </c>
      <c r="K192" s="3">
        <f>SUBTOTAL(109,Table1[Extended Amount Outstanding])</f>
        <v>0</v>
      </c>
      <c r="L192" s="3"/>
      <c r="M192" s="3">
        <f>SUBTOTAL(109,Table1[Extended])</f>
        <v>123868739.42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OFE_Equipment_By_Building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Erik Stockglausner</cp:lastModifiedBy>
  <dcterms:created xsi:type="dcterms:W3CDTF">2025-11-19T21:50:22Z</dcterms:created>
  <dcterms:modified xsi:type="dcterms:W3CDTF">2025-11-19T21:53:15Z</dcterms:modified>
</cp:coreProperties>
</file>